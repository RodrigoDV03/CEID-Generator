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Escritorio\PROGRAMA CEID\GENERADOR PLANILLA\"/>
    </mc:Choice>
  </mc:AlternateContent>
  <xr:revisionPtr revIDLastSave="0" documentId="13_ncr:1_{8E0A6A1E-31A3-4842-9022-76C377223502}" xr6:coauthVersionLast="47" xr6:coauthVersionMax="47" xr10:uidLastSave="{00000000-0000-0000-0000-000000000000}"/>
  <bookViews>
    <workbookView xWindow="-120" yWindow="-120" windowWidth="29040" windowHeight="15720" xr2:uid="{CDBBA8A6-F996-47B4-97D8-E7537B2F5005}"/>
  </bookViews>
  <sheets>
    <sheet name="registros" sheetId="1" r:id="rId1"/>
    <sheet name="List" sheetId="2" state="hidden" r:id="rId2"/>
  </sheets>
  <definedNames>
    <definedName name="_xlnm._FilterDatabase" localSheetId="1" hidden="1">List!$A$1:$F$137</definedName>
    <definedName name="tablaDocen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M5" i="1" s="1"/>
  <c r="B6" i="1"/>
  <c r="M6" i="1" s="1"/>
  <c r="B7" i="1"/>
  <c r="M7" i="1" s="1"/>
  <c r="B8" i="1"/>
  <c r="M8" i="1" s="1"/>
  <c r="B9" i="1"/>
  <c r="M9" i="1" s="1"/>
  <c r="B3" i="1"/>
  <c r="M3" i="1" s="1"/>
  <c r="L4" i="1"/>
  <c r="L5" i="1"/>
  <c r="L6" i="1"/>
  <c r="L7" i="1"/>
  <c r="L8" i="1"/>
  <c r="L9" i="1"/>
  <c r="L3" i="1"/>
  <c r="L10" i="1" s="1"/>
  <c r="M4" i="1" l="1"/>
  <c r="M10" i="1"/>
</calcChain>
</file>

<file path=xl/sharedStrings.xml><?xml version="1.0" encoding="utf-8"?>
<sst xmlns="http://schemas.openxmlformats.org/spreadsheetml/2006/main" count="439" uniqueCount="161">
  <si>
    <t>Docente</t>
  </si>
  <si>
    <t>Escrito (S/.30.00)</t>
  </si>
  <si>
    <t>Escrito (S/.40.00)</t>
  </si>
  <si>
    <t>Escrito Particular (S/.100.00)</t>
  </si>
  <si>
    <t>Escrito y Oral (S/.60.00)</t>
  </si>
  <si>
    <t>Escrito y Oral (S/.70.00)</t>
  </si>
  <si>
    <t>Cáceres Bobadilla, Yuri Fernando</t>
  </si>
  <si>
    <t>Celis Sologuren, Pablo Alberto</t>
  </si>
  <si>
    <t>Fernández Puza, Adela Victoria</t>
  </si>
  <si>
    <t>Huamán Águila, Óscar</t>
  </si>
  <si>
    <t>Meléndez León, Sandro Francisco</t>
  </si>
  <si>
    <t>Olivera Vega, Norma Aurora</t>
  </si>
  <si>
    <t>Rojas Vilca, Giuliana Rosa</t>
  </si>
  <si>
    <t>Total Horas</t>
  </si>
  <si>
    <t>DOMINGO 27 DE ABRIL HORA 10:00 A.M.</t>
  </si>
  <si>
    <t>SÁBADO 19 DE ABRIL HORA 7:00 P.M</t>
  </si>
  <si>
    <t>SÁBADO 26 DE ABRIL HORA 3:00 P.M</t>
  </si>
  <si>
    <t>SÁBADO 26 DE ABRIL HORA 7:00 P.M</t>
  </si>
  <si>
    <t>Clasificación- Mayo</t>
  </si>
  <si>
    <t>Monto</t>
  </si>
  <si>
    <t>N°</t>
  </si>
  <si>
    <t>Sede</t>
  </si>
  <si>
    <t>Categoria (Letra)</t>
  </si>
  <si>
    <t>Categoria (Monto)</t>
  </si>
  <si>
    <t>N°. Ruc</t>
  </si>
  <si>
    <t>Abarca Chavez, Tania Tatiana</t>
  </si>
  <si>
    <t>C.U.</t>
  </si>
  <si>
    <t>C</t>
  </si>
  <si>
    <t>Acosta Cantu, Kelly Marilyn</t>
  </si>
  <si>
    <t>L.E.</t>
  </si>
  <si>
    <t>B</t>
  </si>
  <si>
    <t>Agip Chinchayan, Raiza Andrea</t>
  </si>
  <si>
    <t>Aleman Carrero, Luis Hernan</t>
  </si>
  <si>
    <t>Alves Vieira, Vera Helena</t>
  </si>
  <si>
    <t>Amico Palomino, Carlos Eduardo</t>
  </si>
  <si>
    <t>Barragan Ore, Russ Princess</t>
  </si>
  <si>
    <t>Baygorria Huallanca, Yesenia</t>
  </si>
  <si>
    <t>Benites Arteaga, Pedro Pablo</t>
  </si>
  <si>
    <t>Blanco Olivos, Denisse Myrella</t>
  </si>
  <si>
    <t>A</t>
  </si>
  <si>
    <t>Borda Huyhua, Edison Percy</t>
  </si>
  <si>
    <t>Cabrera Echegaray De Blanco, Nora Eulalia</t>
  </si>
  <si>
    <t>Cacho Huertas, Rosa Enriqueta</t>
  </si>
  <si>
    <t>Calderon Cahue, Robert Nicanor</t>
  </si>
  <si>
    <t>Campos Ayala, Eduardo</t>
  </si>
  <si>
    <t>Carrasco Torres, Elizabet</t>
  </si>
  <si>
    <t>Carvalho De Jesús, Sueli</t>
  </si>
  <si>
    <t>Casella Norabuena, Giuvelly</t>
  </si>
  <si>
    <t>Castellares Fuentes Davila, Miguel Angel</t>
  </si>
  <si>
    <t>Castillo Hidalgo, Rocio</t>
  </si>
  <si>
    <t>Castillo Ore, Nancy</t>
  </si>
  <si>
    <t>Castro Quispe, Luz María</t>
  </si>
  <si>
    <t>Chuchon Urbina, Jesús Manuel</t>
  </si>
  <si>
    <t>Cipra Soto, Juan Carlos</t>
  </si>
  <si>
    <t>No labora</t>
  </si>
  <si>
    <t>Condezo Tascca, Sailor Marino</t>
  </si>
  <si>
    <t>Condori Quito, Monica Roxana</t>
  </si>
  <si>
    <t>Contreras Espinoza, Harlinton Williams</t>
  </si>
  <si>
    <t>Cordova Ochoa, Lydia María</t>
  </si>
  <si>
    <t>Cruz Cisneros, Lourdes Ilene</t>
  </si>
  <si>
    <t>Cruz Salas, Dora Silvia</t>
  </si>
  <si>
    <t>De La Cruz Delgado, Blanca Margarita</t>
  </si>
  <si>
    <t>De Los Santos Guzmán, Fabiola Desire</t>
  </si>
  <si>
    <t>Diaz Aparicio, Ademar Elliot</t>
  </si>
  <si>
    <t>Diaz Corcuera, Andres</t>
  </si>
  <si>
    <t>Egoavil Cisneros, Sandra Patricia</t>
  </si>
  <si>
    <t>Escobar Barzola, Devora Miriam</t>
  </si>
  <si>
    <t>Espino Vegas, Dalia Mercedes</t>
  </si>
  <si>
    <t>Fajardo Cayhualla, Juan Alberto</t>
  </si>
  <si>
    <t>Fermin Tiwi, Pati</t>
  </si>
  <si>
    <t>Filips Atachagua, Karina Jessica</t>
  </si>
  <si>
    <t>Franco Padilha, Sthephannye Thahyennye</t>
  </si>
  <si>
    <t>Franco, Luciane</t>
  </si>
  <si>
    <t>Gamarra Sequeiros, Edy Roy</t>
  </si>
  <si>
    <t>Gamboa Hernandez, Miriam Lizeth</t>
  </si>
  <si>
    <t>Gangini, Roberto</t>
  </si>
  <si>
    <t>Garay Medina, Verónica Lucia</t>
  </si>
  <si>
    <t>Garboza Jimenez, Victoria Esther</t>
  </si>
  <si>
    <t>Garcia Medina, Ruben Leonardo</t>
  </si>
  <si>
    <t>Giraldo Silvera, Luis Rodrigo</t>
  </si>
  <si>
    <t>Giron Villar, Margarita Elsi</t>
  </si>
  <si>
    <t>Gomez Rivera, Elida Isabel</t>
  </si>
  <si>
    <t>Granda Lazaro, Yesica Karin</t>
  </si>
  <si>
    <t>Grasso Gutierrez, Mario José</t>
  </si>
  <si>
    <t>Guevara Culquicondor, Rosa María</t>
  </si>
  <si>
    <t>Guevara Rabanal, Diego Andre</t>
  </si>
  <si>
    <t>Gutiérrez Santayana, Eduardo José</t>
  </si>
  <si>
    <t>Hallasi Ancori, Miozelit Ailuj</t>
  </si>
  <si>
    <t>Huahualuque Mamani, Brigida</t>
  </si>
  <si>
    <t>Huaman Rodriguez, Marlene Yulissa</t>
  </si>
  <si>
    <t>Hurtado Briones, Rosa Elena</t>
  </si>
  <si>
    <t>Leandro Vadillo, Wilder</t>
  </si>
  <si>
    <t>Linares Pinto, Frida Guadalupe</t>
  </si>
  <si>
    <t>Llanos Cortez, Juan Carlos</t>
  </si>
  <si>
    <t>Lopéz Merino, Juan Jesús</t>
  </si>
  <si>
    <t>Lopez Reyes, Francisco Julio</t>
  </si>
  <si>
    <t>Lozano Salazar, Carmen Ruth</t>
  </si>
  <si>
    <t>Luyo Bellido, Miriam Esther</t>
  </si>
  <si>
    <t>Mamani Mamani, Alan Ever</t>
  </si>
  <si>
    <t>Manrique Alva, Rosiand</t>
  </si>
  <si>
    <t>Mera Rodriguez, Jacqueline Yrene</t>
  </si>
  <si>
    <t>Miranda Huallpa, Daniel</t>
  </si>
  <si>
    <t>Morales Cahuas, Ruth</t>
  </si>
  <si>
    <t>Navarro Aranda, Jorge Fernando</t>
  </si>
  <si>
    <t>Nolasco Zarate, Marilyn</t>
  </si>
  <si>
    <t>Olortegui Bazán, Giuliana Anali</t>
  </si>
  <si>
    <t>Ortega Flores, Gisella Benazir</t>
  </si>
  <si>
    <t>Padilla Romero, Kjory</t>
  </si>
  <si>
    <t>Panduro Tavera, Eva</t>
  </si>
  <si>
    <t>Pari Tambini, Sevili Liliana</t>
  </si>
  <si>
    <t>Pérez Mendoza, Tatiana María</t>
  </si>
  <si>
    <t>Phillipps Zegarra, María De Las Nieves</t>
  </si>
  <si>
    <t>Pimentel Sanchez, Elsa Lourdes</t>
  </si>
  <si>
    <t>Pinto Huaman, Silvia Rosa</t>
  </si>
  <si>
    <t>Polo Palacios, Walter Alex</t>
  </si>
  <si>
    <t>Ponce Huamani, Ivan Derian</t>
  </si>
  <si>
    <t>Ponce Salazar, Edwin Carlos</t>
  </si>
  <si>
    <t>Powlison, Alan Augusto</t>
  </si>
  <si>
    <t>Quispe Cuadros, Xu-Li María</t>
  </si>
  <si>
    <t>Quispe Zorrilla, Eva Luz</t>
  </si>
  <si>
    <t>Ramirez Arica, Harry Williams</t>
  </si>
  <si>
    <t>Reymundo Prieto, Karina Liz</t>
  </si>
  <si>
    <t>Ricardi Zevallos, Hilda Rosario</t>
  </si>
  <si>
    <t>Rojas Gonzales, María Consuelo</t>
  </si>
  <si>
    <t>Rojas Sante, Jhoel Alfredo</t>
  </si>
  <si>
    <t>Ruiz Castro, Carmen July</t>
  </si>
  <si>
    <t>Ruiz Magro, Abelardo Paolo</t>
  </si>
  <si>
    <t>Samaritano Ayala, Edward Jesús</t>
  </si>
  <si>
    <t>Sanchez Saldaña, Rosa Milagros</t>
  </si>
  <si>
    <t>Santillán López, Eloy</t>
  </si>
  <si>
    <t>Sebastiani Carranza, Gloria Clementina</t>
  </si>
  <si>
    <t>Silva Cavalcante, María Roza Mary</t>
  </si>
  <si>
    <t>Silva Soto De Ibañez, Gladys Olivia</t>
  </si>
  <si>
    <t>Siu Saavedra, Karla Stafani</t>
  </si>
  <si>
    <t>Sulca Gómez, René</t>
  </si>
  <si>
    <t>Sullcaray Salazar, Susana María</t>
  </si>
  <si>
    <t>Tascca Hilares, Santusa Inocencia</t>
  </si>
  <si>
    <t>Tello Parra, Jose Luis</t>
  </si>
  <si>
    <t>Terrones Puntay, Weslly Paola</t>
  </si>
  <si>
    <t>Tintaya Quille, María Estela</t>
  </si>
  <si>
    <t>Toribio Pilco, Claudia Dalma</t>
  </si>
  <si>
    <t>Toribio Pilco, María Angelica</t>
  </si>
  <si>
    <t>Torres Manrique, Yda Giovanna</t>
  </si>
  <si>
    <t>Torres Quedo, Edy Isabel</t>
  </si>
  <si>
    <t>Trigoso Quintana, Rigoberto Carlos</t>
  </si>
  <si>
    <t>Trinidad Estupiñan, Nestor Jesús</t>
  </si>
  <si>
    <t>Trujillo Hidalgo, Guadalupe Mirella</t>
  </si>
  <si>
    <t>Ttito Sulca, Fernando Agustin</t>
  </si>
  <si>
    <t>Turriate Chavez, Jairo Jaime</t>
  </si>
  <si>
    <t>Valle Echevarria, Ana Barbara</t>
  </si>
  <si>
    <t>Valverde Rabanal, Giovana Margot</t>
  </si>
  <si>
    <t>Vasquez Guivar, Ivan Javier</t>
  </si>
  <si>
    <t>Vega Saldaña, Sixto Alfredo</t>
  </si>
  <si>
    <t>Verastegui Prado, Percy Anibal</t>
  </si>
  <si>
    <t>Villacorta Gil, Lourdes Celina</t>
  </si>
  <si>
    <t>Zhang Huamaccto, Liang Mell</t>
  </si>
  <si>
    <t>Antuash Nañap, Leo Medellin</t>
  </si>
  <si>
    <t xml:space="preserve">Carrasco Torres, Elizabet </t>
  </si>
  <si>
    <t>Lopez Merino, Juan Jesús</t>
  </si>
  <si>
    <t>Tello Parra, José Luis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</si>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</sst>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S/-280A]\ * #,##0.00_-;\-[$S/-280A]\ * #,##0.00_-;_-[$S/-280A]\ * &quot;-&quot;??_-;_-@_-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12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FE4EC"/>
        <bgColor indexed="64"/>
      </patternFill>
    </fill>
    <fill>
      <patternFill patternType="solid">
        <fgColor rgb="FF8093B3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/>
    </xf>
    <xf numFmtId="0" fontId="9" fillId="10" borderId="1" xfId="0" applyFont="1" applyFill="1" applyBorder="1" applyAlignment="1">
      <alignment horizontal="left"/>
    </xf>
    <xf numFmtId="164" fontId="0" fillId="0" borderId="0" xfId="0" applyNumberFormat="1"/>
    <xf numFmtId="0" fontId="1" fillId="7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164" fontId="1" fillId="0" borderId="5" xfId="0" applyNumberFormat="1" applyFont="1" applyBorder="1"/>
    <xf numFmtId="164" fontId="3" fillId="4" borderId="1" xfId="0" applyNumberFormat="1" applyFont="1" applyFill="1" applyBorder="1" applyAlignment="1">
      <alignment horizontal="left" vertical="center" wrapText="1"/>
    </xf>
    <xf numFmtId="15" fontId="0" fillId="0" borderId="0" xfId="0" applyNumberFormat="1"/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07123-CE42-498C-93E5-6DAC4F924C27}">
  <dimension ref="A1:M18"/>
  <sheetViews>
    <sheetView tabSelected="1" zoomScale="154" zoomScaleNormal="115" workbookViewId="0">
      <selection activeCell="E2" sqref="E2"/>
    </sheetView>
  </sheetViews>
  <sheetFormatPr baseColWidth="10" defaultRowHeight="15" x14ac:dyDescent="0.25"/>
  <cols>
    <col min="1" max="1" width="30.7109375" bestFit="1" customWidth="1"/>
    <col min="2" max="2" width="9.5703125" bestFit="1" customWidth="1"/>
    <col min="3" max="3" width="13.5703125" style="7" bestFit="1" customWidth="1"/>
    <col min="4" max="4" width="12.7109375" style="7" bestFit="1" customWidth="1"/>
    <col min="5" max="6" width="8.5703125" style="7" bestFit="1" customWidth="1"/>
    <col min="7" max="8" width="11.28515625" style="7" bestFit="1" customWidth="1"/>
    <col min="9" max="10" width="8.5703125" style="7" bestFit="1" customWidth="1"/>
    <col min="11" max="11" width="11.28515625" style="7" bestFit="1" customWidth="1"/>
  </cols>
  <sheetData>
    <row r="1" spans="1:13" ht="48" x14ac:dyDescent="0.25">
      <c r="A1" s="1" t="s">
        <v>18</v>
      </c>
      <c r="B1" s="10"/>
      <c r="C1" s="4" t="s">
        <v>14</v>
      </c>
      <c r="D1" s="4" t="s">
        <v>15</v>
      </c>
      <c r="E1" s="21" t="s">
        <v>16</v>
      </c>
      <c r="F1" s="22"/>
      <c r="G1" s="22"/>
      <c r="H1" s="23"/>
      <c r="I1" s="21" t="s">
        <v>17</v>
      </c>
      <c r="J1" s="22"/>
      <c r="K1" s="23"/>
    </row>
    <row r="2" spans="1:13" ht="36" x14ac:dyDescent="0.25">
      <c r="A2" s="1" t="s">
        <v>0</v>
      </c>
      <c r="B2" s="1" t="s">
        <v>160</v>
      </c>
      <c r="C2" s="5" t="s">
        <v>3</v>
      </c>
      <c r="D2" s="5" t="s">
        <v>4</v>
      </c>
      <c r="E2" s="5" t="s">
        <v>1</v>
      </c>
      <c r="F2" s="5" t="s">
        <v>2</v>
      </c>
      <c r="G2" s="5" t="s">
        <v>4</v>
      </c>
      <c r="H2" s="5" t="s">
        <v>5</v>
      </c>
      <c r="I2" s="5" t="s">
        <v>1</v>
      </c>
      <c r="J2" s="5" t="s">
        <v>2</v>
      </c>
      <c r="K2" s="5" t="s">
        <v>4</v>
      </c>
      <c r="L2" s="2" t="s">
        <v>13</v>
      </c>
      <c r="M2" s="9" t="s">
        <v>19</v>
      </c>
    </row>
    <row r="3" spans="1:13" x14ac:dyDescent="0.25">
      <c r="A3" s="8" t="s">
        <v>6</v>
      </c>
      <c r="B3" s="19">
        <f>VLOOKUP(A3,List!$B$1:$F$137,4,FALSE)</f>
        <v>37.5</v>
      </c>
      <c r="C3" s="6"/>
      <c r="D3" s="6"/>
      <c r="E3" s="6"/>
      <c r="F3" s="6">
        <v>1</v>
      </c>
      <c r="G3" s="6"/>
      <c r="H3" s="6"/>
      <c r="I3" s="6"/>
      <c r="J3" s="6">
        <v>1</v>
      </c>
      <c r="K3" s="6"/>
      <c r="L3" s="3">
        <f>SUM(C3:K3)</f>
        <v>2</v>
      </c>
      <c r="M3" s="15">
        <f>B3*L3</f>
        <v>75</v>
      </c>
    </row>
    <row r="4" spans="1:13" x14ac:dyDescent="0.25">
      <c r="A4" s="8" t="s">
        <v>7</v>
      </c>
      <c r="B4" s="19">
        <f>VLOOKUP(A4,List!$B$1:$F$137,4,FALSE)</f>
        <v>35</v>
      </c>
      <c r="C4" s="6">
        <v>1</v>
      </c>
      <c r="D4" s="6">
        <v>2</v>
      </c>
      <c r="E4" s="6">
        <v>1</v>
      </c>
      <c r="F4" s="6"/>
      <c r="G4" s="6"/>
      <c r="H4" s="6"/>
      <c r="I4" s="6">
        <v>1</v>
      </c>
      <c r="J4" s="6"/>
      <c r="K4" s="6"/>
      <c r="L4" s="3">
        <f t="shared" ref="L4:L9" si="0">SUM(C4:K4)</f>
        <v>5</v>
      </c>
      <c r="M4" s="15">
        <f t="shared" ref="M4:M9" si="1">B4*L4</f>
        <v>175</v>
      </c>
    </row>
    <row r="5" spans="1:13" x14ac:dyDescent="0.25">
      <c r="A5" s="8" t="s">
        <v>8</v>
      </c>
      <c r="B5" s="19">
        <f>VLOOKUP(A5,List!$B$1:$F$137,4,FALSE)</f>
        <v>37.5</v>
      </c>
      <c r="C5" s="6"/>
      <c r="D5" s="6"/>
      <c r="E5" s="6"/>
      <c r="F5" s="6"/>
      <c r="G5" s="6"/>
      <c r="H5" s="6">
        <v>2</v>
      </c>
      <c r="I5" s="6"/>
      <c r="J5" s="6"/>
      <c r="K5" s="6"/>
      <c r="L5" s="3">
        <f t="shared" si="0"/>
        <v>2</v>
      </c>
      <c r="M5" s="15">
        <f t="shared" si="1"/>
        <v>75</v>
      </c>
    </row>
    <row r="6" spans="1:13" x14ac:dyDescent="0.25">
      <c r="A6" s="8" t="s">
        <v>9</v>
      </c>
      <c r="B6" s="19">
        <f>VLOOKUP(A6,List!$B$1:$F$137,4,FALSE)</f>
        <v>40</v>
      </c>
      <c r="C6" s="6"/>
      <c r="D6" s="6">
        <v>2</v>
      </c>
      <c r="E6" s="6"/>
      <c r="F6" s="6"/>
      <c r="G6" s="6"/>
      <c r="H6" s="6"/>
      <c r="I6" s="6"/>
      <c r="J6" s="6"/>
      <c r="K6" s="6"/>
      <c r="L6" s="3">
        <f t="shared" si="0"/>
        <v>2</v>
      </c>
      <c r="M6" s="15">
        <f t="shared" si="1"/>
        <v>80</v>
      </c>
    </row>
    <row r="7" spans="1:13" x14ac:dyDescent="0.25">
      <c r="A7" s="8" t="s">
        <v>10</v>
      </c>
      <c r="B7" s="19">
        <f>VLOOKUP(A7,List!$B$1:$F$137,4,FALSE)</f>
        <v>35</v>
      </c>
      <c r="C7" s="6"/>
      <c r="D7" s="6"/>
      <c r="E7" s="6"/>
      <c r="F7" s="6"/>
      <c r="G7" s="6">
        <v>2</v>
      </c>
      <c r="H7" s="6"/>
      <c r="I7" s="6"/>
      <c r="J7" s="6">
        <v>1</v>
      </c>
      <c r="K7" s="6"/>
      <c r="L7" s="3">
        <f t="shared" si="0"/>
        <v>3</v>
      </c>
      <c r="M7" s="15">
        <f t="shared" si="1"/>
        <v>105</v>
      </c>
    </row>
    <row r="8" spans="1:13" x14ac:dyDescent="0.25">
      <c r="A8" s="8" t="s">
        <v>11</v>
      </c>
      <c r="B8" s="19">
        <f>VLOOKUP(A8,List!$B$1:$F$137,4,FALSE)</f>
        <v>37.5</v>
      </c>
      <c r="C8" s="6"/>
      <c r="D8" s="6"/>
      <c r="E8" s="6"/>
      <c r="F8" s="6"/>
      <c r="G8" s="6">
        <v>2</v>
      </c>
      <c r="H8" s="6"/>
      <c r="I8" s="6"/>
      <c r="J8" s="6"/>
      <c r="K8" s="6">
        <v>2</v>
      </c>
      <c r="L8" s="3">
        <f t="shared" si="0"/>
        <v>4</v>
      </c>
      <c r="M8" s="15">
        <f t="shared" si="1"/>
        <v>150</v>
      </c>
    </row>
    <row r="9" spans="1:13" ht="15.75" thickBot="1" x14ac:dyDescent="0.3">
      <c r="A9" s="8" t="s">
        <v>12</v>
      </c>
      <c r="B9" s="19">
        <f>VLOOKUP(A9,List!$B$1:$F$137,4,FALSE)</f>
        <v>40</v>
      </c>
      <c r="C9" s="6"/>
      <c r="D9" s="6"/>
      <c r="E9" s="6"/>
      <c r="F9" s="6">
        <v>1</v>
      </c>
      <c r="G9" s="6"/>
      <c r="H9" s="6"/>
      <c r="I9" s="6"/>
      <c r="J9" s="6">
        <v>1</v>
      </c>
      <c r="K9" s="6"/>
      <c r="L9" s="16">
        <f t="shared" si="0"/>
        <v>2</v>
      </c>
      <c r="M9" s="15">
        <f t="shared" si="1"/>
        <v>80</v>
      </c>
    </row>
    <row r="10" spans="1:13" ht="15.75" thickBot="1" x14ac:dyDescent="0.3">
      <c r="L10" s="17">
        <f>SUM(L3:L9)</f>
        <v>20</v>
      </c>
      <c r="M10" s="18">
        <f>SUM(M3:M9)</f>
        <v>740</v>
      </c>
    </row>
    <row r="18" spans="12:12" x14ac:dyDescent="0.25">
      <c r="L18" s="20"/>
    </row>
  </sheetData>
  <mergeCells count="2">
    <mergeCell ref="E1:H1"/>
    <mergeCell ref="I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6F6C0-5A63-469D-BB9B-FE2BAF8E321B}">
  <dimension ref="A1:F137"/>
  <sheetViews>
    <sheetView zoomScale="145" zoomScaleNormal="145" workbookViewId="0">
      <selection activeCell="F8" sqref="F8"/>
    </sheetView>
  </sheetViews>
  <sheetFormatPr baseColWidth="10" defaultRowHeight="15" x14ac:dyDescent="0.25"/>
  <cols>
    <col min="1" max="1" width="5.42578125" bestFit="1" customWidth="1"/>
    <col min="2" max="2" width="39.85546875" bestFit="1" customWidth="1"/>
    <col min="3" max="3" width="5.7109375" bestFit="1" customWidth="1"/>
    <col min="4" max="5" width="9.85546875" bestFit="1" customWidth="1"/>
    <col min="6" max="6" width="13.7109375" bestFit="1" customWidth="1"/>
  </cols>
  <sheetData>
    <row r="1" spans="1:6" ht="31.5" x14ac:dyDescent="0.25">
      <c r="A1" s="11" t="s">
        <v>20</v>
      </c>
      <c r="B1" s="11" t="s">
        <v>0</v>
      </c>
      <c r="C1" s="12" t="s">
        <v>21</v>
      </c>
      <c r="D1" s="12" t="s">
        <v>22</v>
      </c>
      <c r="E1" s="12" t="s">
        <v>23</v>
      </c>
      <c r="F1" s="12" t="s">
        <v>24</v>
      </c>
    </row>
    <row r="2" spans="1:6" ht="15.75" x14ac:dyDescent="0.25">
      <c r="A2" s="13">
        <v>1</v>
      </c>
      <c r="B2" s="13" t="s">
        <v>25</v>
      </c>
      <c r="C2" s="14" t="s">
        <v>26</v>
      </c>
      <c r="D2" s="14" t="s">
        <v>27</v>
      </c>
      <c r="E2" s="14">
        <v>35</v>
      </c>
      <c r="F2" s="14">
        <v>10460255924</v>
      </c>
    </row>
    <row r="3" spans="1:6" ht="15.75" x14ac:dyDescent="0.25">
      <c r="A3" s="13">
        <v>2</v>
      </c>
      <c r="B3" s="13" t="s">
        <v>28</v>
      </c>
      <c r="C3" s="13" t="s">
        <v>29</v>
      </c>
      <c r="D3" s="13" t="s">
        <v>30</v>
      </c>
      <c r="E3" s="13">
        <v>37.5</v>
      </c>
      <c r="F3" s="13">
        <v>10424766921</v>
      </c>
    </row>
    <row r="4" spans="1:6" ht="15.75" x14ac:dyDescent="0.25">
      <c r="A4" s="13">
        <v>3</v>
      </c>
      <c r="B4" s="13" t="s">
        <v>31</v>
      </c>
      <c r="C4" s="13" t="s">
        <v>26</v>
      </c>
      <c r="D4" s="13" t="s">
        <v>27</v>
      </c>
      <c r="E4" s="13">
        <v>35</v>
      </c>
      <c r="F4" s="13">
        <v>10730465659</v>
      </c>
    </row>
    <row r="5" spans="1:6" ht="15.75" x14ac:dyDescent="0.25">
      <c r="A5" s="13">
        <v>4</v>
      </c>
      <c r="B5" s="13" t="s">
        <v>32</v>
      </c>
      <c r="C5" s="13" t="s">
        <v>26</v>
      </c>
      <c r="D5" s="13" t="s">
        <v>27</v>
      </c>
      <c r="E5" s="13">
        <v>35</v>
      </c>
      <c r="F5" s="13">
        <v>10429394380</v>
      </c>
    </row>
    <row r="6" spans="1:6" ht="15.75" x14ac:dyDescent="0.25">
      <c r="A6" s="13">
        <v>5</v>
      </c>
      <c r="B6" s="13" t="s">
        <v>33</v>
      </c>
      <c r="C6" s="13" t="s">
        <v>26</v>
      </c>
      <c r="D6" s="13" t="s">
        <v>30</v>
      </c>
      <c r="E6" s="13">
        <v>37.5</v>
      </c>
      <c r="F6" s="13">
        <v>15538262703</v>
      </c>
    </row>
    <row r="7" spans="1:6" ht="15.75" x14ac:dyDescent="0.25">
      <c r="A7" s="13">
        <v>6</v>
      </c>
      <c r="B7" s="13" t="s">
        <v>34</v>
      </c>
      <c r="C7" s="13" t="s">
        <v>26</v>
      </c>
      <c r="D7" s="13" t="s">
        <v>30</v>
      </c>
      <c r="E7" s="13">
        <v>37.5</v>
      </c>
      <c r="F7" s="13">
        <v>10254030321</v>
      </c>
    </row>
    <row r="8" spans="1:6" ht="15.75" x14ac:dyDescent="0.25">
      <c r="A8" s="13">
        <v>7</v>
      </c>
      <c r="B8" s="13" t="s">
        <v>35</v>
      </c>
      <c r="C8" s="13" t="s">
        <v>26</v>
      </c>
      <c r="D8" s="13" t="s">
        <v>27</v>
      </c>
      <c r="E8" s="13">
        <v>35</v>
      </c>
      <c r="F8" s="13">
        <v>10474046333</v>
      </c>
    </row>
    <row r="9" spans="1:6" ht="15.75" x14ac:dyDescent="0.25">
      <c r="A9" s="13">
        <v>8</v>
      </c>
      <c r="B9" s="13" t="s">
        <v>36</v>
      </c>
      <c r="C9" s="13" t="s">
        <v>26</v>
      </c>
      <c r="D9" s="13" t="s">
        <v>30</v>
      </c>
      <c r="E9" s="13">
        <v>37.5</v>
      </c>
      <c r="F9" s="13">
        <v>10432006552</v>
      </c>
    </row>
    <row r="10" spans="1:6" ht="15.75" x14ac:dyDescent="0.25">
      <c r="A10" s="13">
        <v>9</v>
      </c>
      <c r="B10" s="13" t="s">
        <v>37</v>
      </c>
      <c r="C10" s="13" t="s">
        <v>26</v>
      </c>
      <c r="D10" s="13" t="s">
        <v>27</v>
      </c>
      <c r="E10" s="13">
        <v>35</v>
      </c>
      <c r="F10" s="13">
        <v>10256584846</v>
      </c>
    </row>
    <row r="11" spans="1:6" ht="15.75" x14ac:dyDescent="0.25">
      <c r="A11" s="13">
        <v>10</v>
      </c>
      <c r="B11" s="13" t="s">
        <v>38</v>
      </c>
      <c r="C11" s="13" t="s">
        <v>26</v>
      </c>
      <c r="D11" s="13" t="s">
        <v>39</v>
      </c>
      <c r="E11" s="13">
        <v>40</v>
      </c>
      <c r="F11" s="13">
        <v>10093380873</v>
      </c>
    </row>
    <row r="12" spans="1:6" ht="15.75" x14ac:dyDescent="0.25">
      <c r="A12" s="13">
        <v>11</v>
      </c>
      <c r="B12" s="13" t="s">
        <v>40</v>
      </c>
      <c r="C12" s="13" t="s">
        <v>26</v>
      </c>
      <c r="D12" s="13" t="s">
        <v>30</v>
      </c>
      <c r="E12" s="13">
        <v>37.5</v>
      </c>
      <c r="F12" s="13">
        <v>10634204011</v>
      </c>
    </row>
    <row r="13" spans="1:6" ht="15.75" x14ac:dyDescent="0.25">
      <c r="A13" s="13">
        <v>12</v>
      </c>
      <c r="B13" s="13" t="s">
        <v>41</v>
      </c>
      <c r="C13" s="13" t="s">
        <v>26</v>
      </c>
      <c r="D13" s="13" t="s">
        <v>30</v>
      </c>
      <c r="E13" s="13">
        <v>37.5</v>
      </c>
      <c r="F13" s="13">
        <v>10087380411</v>
      </c>
    </row>
    <row r="14" spans="1:6" ht="15.75" x14ac:dyDescent="0.25">
      <c r="A14" s="13">
        <v>13</v>
      </c>
      <c r="B14" s="8" t="s">
        <v>6</v>
      </c>
      <c r="C14" s="13" t="s">
        <v>26</v>
      </c>
      <c r="D14" s="13" t="s">
        <v>30</v>
      </c>
      <c r="E14" s="13">
        <v>37.5</v>
      </c>
      <c r="F14" s="13">
        <v>10075261646</v>
      </c>
    </row>
    <row r="15" spans="1:6" ht="15.75" x14ac:dyDescent="0.25">
      <c r="A15" s="13">
        <v>14</v>
      </c>
      <c r="B15" s="13" t="s">
        <v>42</v>
      </c>
      <c r="C15" s="13" t="s">
        <v>26</v>
      </c>
      <c r="D15" s="13" t="s">
        <v>39</v>
      </c>
      <c r="E15" s="13">
        <v>40</v>
      </c>
      <c r="F15" s="13">
        <v>10094065688</v>
      </c>
    </row>
    <row r="16" spans="1:6" ht="15.75" x14ac:dyDescent="0.25">
      <c r="A16" s="13">
        <v>15</v>
      </c>
      <c r="B16" s="13" t="s">
        <v>43</v>
      </c>
      <c r="C16" s="13" t="s">
        <v>26</v>
      </c>
      <c r="D16" s="13" t="s">
        <v>30</v>
      </c>
      <c r="E16" s="13">
        <v>37.5</v>
      </c>
      <c r="F16" s="13">
        <v>10257417421</v>
      </c>
    </row>
    <row r="17" spans="1:6" ht="15.75" x14ac:dyDescent="0.25">
      <c r="A17" s="13">
        <v>16</v>
      </c>
      <c r="B17" s="13" t="s">
        <v>44</v>
      </c>
      <c r="C17" s="13" t="s">
        <v>26</v>
      </c>
      <c r="D17" s="13" t="s">
        <v>30</v>
      </c>
      <c r="E17" s="13">
        <v>37.5</v>
      </c>
      <c r="F17" s="13">
        <v>10154531837</v>
      </c>
    </row>
    <row r="18" spans="1:6" ht="15.75" x14ac:dyDescent="0.25">
      <c r="A18" s="13">
        <v>17</v>
      </c>
      <c r="B18" s="13" t="s">
        <v>45</v>
      </c>
      <c r="C18" s="13" t="s">
        <v>26</v>
      </c>
      <c r="D18" s="13" t="s">
        <v>30</v>
      </c>
      <c r="E18" s="13">
        <v>37.5</v>
      </c>
      <c r="F18" s="13">
        <v>10460174665</v>
      </c>
    </row>
    <row r="19" spans="1:6" ht="15.75" x14ac:dyDescent="0.25">
      <c r="A19" s="13">
        <v>18</v>
      </c>
      <c r="B19" s="13" t="s">
        <v>46</v>
      </c>
      <c r="C19" s="13" t="s">
        <v>26</v>
      </c>
      <c r="D19" s="13" t="s">
        <v>27</v>
      </c>
      <c r="E19" s="13">
        <v>35</v>
      </c>
      <c r="F19" s="13">
        <v>15546950040</v>
      </c>
    </row>
    <row r="20" spans="1:6" ht="15.75" x14ac:dyDescent="0.25">
      <c r="A20" s="13">
        <v>19</v>
      </c>
      <c r="B20" s="13" t="s">
        <v>47</v>
      </c>
      <c r="C20" s="13" t="s">
        <v>26</v>
      </c>
      <c r="D20" s="13" t="s">
        <v>39</v>
      </c>
      <c r="E20" s="13">
        <v>40</v>
      </c>
      <c r="F20" s="13">
        <v>10421147103</v>
      </c>
    </row>
    <row r="21" spans="1:6" ht="15.75" x14ac:dyDescent="0.25">
      <c r="A21" s="13">
        <v>20</v>
      </c>
      <c r="B21" s="13" t="s">
        <v>48</v>
      </c>
      <c r="C21" s="13" t="s">
        <v>26</v>
      </c>
      <c r="D21" s="13" t="s">
        <v>30</v>
      </c>
      <c r="E21" s="13">
        <v>37.5</v>
      </c>
      <c r="F21" s="13">
        <v>10074641275</v>
      </c>
    </row>
    <row r="22" spans="1:6" ht="15.75" x14ac:dyDescent="0.25">
      <c r="A22" s="13">
        <v>21</v>
      </c>
      <c r="B22" s="13" t="s">
        <v>49</v>
      </c>
      <c r="C22" s="13" t="s">
        <v>26</v>
      </c>
      <c r="D22" s="13" t="s">
        <v>39</v>
      </c>
      <c r="E22" s="13">
        <v>40</v>
      </c>
      <c r="F22" s="13">
        <v>10067940071</v>
      </c>
    </row>
    <row r="23" spans="1:6" ht="15.75" x14ac:dyDescent="0.25">
      <c r="A23" s="13">
        <v>22</v>
      </c>
      <c r="B23" s="13" t="s">
        <v>50</v>
      </c>
      <c r="C23" s="13" t="s">
        <v>26</v>
      </c>
      <c r="D23" s="13" t="s">
        <v>30</v>
      </c>
      <c r="E23" s="13">
        <v>37.5</v>
      </c>
      <c r="F23" s="13">
        <v>10750028956</v>
      </c>
    </row>
    <row r="24" spans="1:6" ht="15.75" x14ac:dyDescent="0.25">
      <c r="A24" s="13">
        <v>23</v>
      </c>
      <c r="B24" s="13" t="s">
        <v>51</v>
      </c>
      <c r="C24" s="13" t="s">
        <v>26</v>
      </c>
      <c r="D24" s="13" t="s">
        <v>27</v>
      </c>
      <c r="E24" s="13">
        <v>35</v>
      </c>
      <c r="F24" s="13">
        <v>10705547781</v>
      </c>
    </row>
    <row r="25" spans="1:6" ht="15.75" x14ac:dyDescent="0.25">
      <c r="A25" s="13">
        <v>24</v>
      </c>
      <c r="B25" s="13" t="s">
        <v>7</v>
      </c>
      <c r="C25" s="13" t="s">
        <v>29</v>
      </c>
      <c r="D25" s="13" t="s">
        <v>27</v>
      </c>
      <c r="E25" s="13">
        <v>35</v>
      </c>
      <c r="F25" s="13">
        <v>10462537838</v>
      </c>
    </row>
    <row r="26" spans="1:6" ht="15.75" x14ac:dyDescent="0.25">
      <c r="A26" s="13">
        <v>25</v>
      </c>
      <c r="B26" s="13" t="s">
        <v>52</v>
      </c>
      <c r="C26" s="13" t="s">
        <v>26</v>
      </c>
      <c r="D26" s="13" t="s">
        <v>30</v>
      </c>
      <c r="E26" s="13">
        <v>37.5</v>
      </c>
      <c r="F26" s="13">
        <v>10438071631</v>
      </c>
    </row>
    <row r="27" spans="1:6" ht="15.75" x14ac:dyDescent="0.25">
      <c r="A27" s="13">
        <v>26</v>
      </c>
      <c r="B27" s="13" t="s">
        <v>53</v>
      </c>
      <c r="C27" s="13" t="s">
        <v>26</v>
      </c>
      <c r="D27" s="13" t="s">
        <v>54</v>
      </c>
      <c r="E27" s="13">
        <v>0</v>
      </c>
      <c r="F27" s="13">
        <v>10080572285</v>
      </c>
    </row>
    <row r="28" spans="1:6" ht="15.75" x14ac:dyDescent="0.25">
      <c r="A28" s="13">
        <v>27</v>
      </c>
      <c r="B28" s="13" t="s">
        <v>55</v>
      </c>
      <c r="C28" s="13" t="s">
        <v>26</v>
      </c>
      <c r="D28" s="13" t="s">
        <v>30</v>
      </c>
      <c r="E28" s="13">
        <v>37.5</v>
      </c>
      <c r="F28" s="13">
        <v>10422833922</v>
      </c>
    </row>
    <row r="29" spans="1:6" ht="15.75" x14ac:dyDescent="0.25">
      <c r="A29" s="13">
        <v>28</v>
      </c>
      <c r="B29" s="13" t="s">
        <v>56</v>
      </c>
      <c r="C29" s="13" t="s">
        <v>29</v>
      </c>
      <c r="D29" s="13" t="s">
        <v>54</v>
      </c>
      <c r="E29" s="13">
        <v>0</v>
      </c>
      <c r="F29" s="13">
        <v>10400434587</v>
      </c>
    </row>
    <row r="30" spans="1:6" ht="15.75" x14ac:dyDescent="0.25">
      <c r="A30" s="13">
        <v>29</v>
      </c>
      <c r="B30" s="13" t="s">
        <v>57</v>
      </c>
      <c r="C30" s="13" t="s">
        <v>26</v>
      </c>
      <c r="D30" s="13" t="s">
        <v>27</v>
      </c>
      <c r="E30" s="13">
        <v>35</v>
      </c>
      <c r="F30" s="13">
        <v>10075303446</v>
      </c>
    </row>
    <row r="31" spans="1:6" ht="15.75" x14ac:dyDescent="0.25">
      <c r="A31" s="13">
        <v>30</v>
      </c>
      <c r="B31" s="13" t="s">
        <v>58</v>
      </c>
      <c r="C31" s="13" t="s">
        <v>26</v>
      </c>
      <c r="D31" s="13" t="s">
        <v>27</v>
      </c>
      <c r="E31" s="13">
        <v>35</v>
      </c>
      <c r="F31" s="13">
        <v>10067434230</v>
      </c>
    </row>
    <row r="32" spans="1:6" ht="15.75" x14ac:dyDescent="0.25">
      <c r="A32" s="13">
        <v>31</v>
      </c>
      <c r="B32" s="13" t="s">
        <v>59</v>
      </c>
      <c r="C32" s="13" t="s">
        <v>29</v>
      </c>
      <c r="D32" s="13" t="s">
        <v>30</v>
      </c>
      <c r="E32" s="13">
        <v>37.5</v>
      </c>
      <c r="F32" s="13">
        <v>10714903701</v>
      </c>
    </row>
    <row r="33" spans="1:6" ht="15.75" x14ac:dyDescent="0.25">
      <c r="A33" s="13">
        <v>32</v>
      </c>
      <c r="B33" s="13" t="s">
        <v>60</v>
      </c>
      <c r="C33" s="13" t="s">
        <v>26</v>
      </c>
      <c r="D33" s="13" t="s">
        <v>27</v>
      </c>
      <c r="E33" s="13">
        <v>35</v>
      </c>
      <c r="F33" s="13">
        <v>10082575311</v>
      </c>
    </row>
    <row r="34" spans="1:6" ht="15.75" x14ac:dyDescent="0.25">
      <c r="A34" s="13">
        <v>33</v>
      </c>
      <c r="B34" s="13" t="s">
        <v>61</v>
      </c>
      <c r="C34" s="13" t="s">
        <v>26</v>
      </c>
      <c r="D34" s="13" t="s">
        <v>30</v>
      </c>
      <c r="E34" s="13">
        <v>37.5</v>
      </c>
      <c r="F34" s="13">
        <v>10079057083</v>
      </c>
    </row>
    <row r="35" spans="1:6" ht="15.75" x14ac:dyDescent="0.25">
      <c r="A35" s="13">
        <v>34</v>
      </c>
      <c r="B35" s="13" t="s">
        <v>62</v>
      </c>
      <c r="C35" s="13" t="s">
        <v>26</v>
      </c>
      <c r="D35" s="13" t="s">
        <v>30</v>
      </c>
      <c r="E35" s="13">
        <v>37.5</v>
      </c>
      <c r="F35" s="13">
        <v>10728670822</v>
      </c>
    </row>
    <row r="36" spans="1:6" ht="15.75" x14ac:dyDescent="0.25">
      <c r="A36" s="13">
        <v>35</v>
      </c>
      <c r="B36" s="13" t="s">
        <v>63</v>
      </c>
      <c r="C36" s="13" t="s">
        <v>26</v>
      </c>
      <c r="D36" s="13" t="s">
        <v>39</v>
      </c>
      <c r="E36" s="13">
        <v>40</v>
      </c>
      <c r="F36" s="13">
        <v>10094627074</v>
      </c>
    </row>
    <row r="37" spans="1:6" ht="15.75" x14ac:dyDescent="0.25">
      <c r="A37" s="13">
        <v>36</v>
      </c>
      <c r="B37" s="13" t="s">
        <v>64</v>
      </c>
      <c r="C37" s="13" t="s">
        <v>26</v>
      </c>
      <c r="D37" s="13" t="s">
        <v>27</v>
      </c>
      <c r="E37" s="13">
        <v>35</v>
      </c>
      <c r="F37" s="13">
        <v>10444447970</v>
      </c>
    </row>
    <row r="38" spans="1:6" ht="15.75" x14ac:dyDescent="0.25">
      <c r="A38" s="13">
        <v>37</v>
      </c>
      <c r="B38" s="13" t="s">
        <v>65</v>
      </c>
      <c r="C38" s="13" t="s">
        <v>29</v>
      </c>
      <c r="D38" s="13" t="s">
        <v>30</v>
      </c>
      <c r="E38" s="13">
        <v>37.5</v>
      </c>
      <c r="F38" s="13">
        <v>10427243767</v>
      </c>
    </row>
    <row r="39" spans="1:6" ht="15.75" x14ac:dyDescent="0.25">
      <c r="A39" s="13">
        <v>38</v>
      </c>
      <c r="B39" s="13" t="s">
        <v>66</v>
      </c>
      <c r="C39" s="13" t="s">
        <v>29</v>
      </c>
      <c r="D39" s="13" t="s">
        <v>30</v>
      </c>
      <c r="E39" s="13">
        <v>37.5</v>
      </c>
      <c r="F39" s="13">
        <v>10409793792</v>
      </c>
    </row>
    <row r="40" spans="1:6" ht="15.75" x14ac:dyDescent="0.25">
      <c r="A40" s="13">
        <v>39</v>
      </c>
      <c r="B40" s="13" t="s">
        <v>67</v>
      </c>
      <c r="C40" s="13" t="s">
        <v>26</v>
      </c>
      <c r="D40" s="13" t="s">
        <v>39</v>
      </c>
      <c r="E40" s="13">
        <v>40</v>
      </c>
      <c r="F40" s="13">
        <v>10433415367</v>
      </c>
    </row>
    <row r="41" spans="1:6" ht="15.75" x14ac:dyDescent="0.25">
      <c r="A41" s="13">
        <v>40</v>
      </c>
      <c r="B41" s="13" t="s">
        <v>68</v>
      </c>
      <c r="C41" s="13" t="s">
        <v>26</v>
      </c>
      <c r="D41" s="13" t="s">
        <v>39</v>
      </c>
      <c r="E41" s="13">
        <v>40</v>
      </c>
      <c r="F41" s="13">
        <v>10460117301</v>
      </c>
    </row>
    <row r="42" spans="1:6" ht="15.75" x14ac:dyDescent="0.25">
      <c r="A42" s="13">
        <v>41</v>
      </c>
      <c r="B42" s="13" t="s">
        <v>69</v>
      </c>
      <c r="C42" s="13" t="s">
        <v>26</v>
      </c>
      <c r="D42" s="13" t="s">
        <v>27</v>
      </c>
      <c r="E42" s="13">
        <v>35</v>
      </c>
      <c r="F42" s="13">
        <v>10088873365</v>
      </c>
    </row>
    <row r="43" spans="1:6" ht="15.75" x14ac:dyDescent="0.25">
      <c r="A43" s="13">
        <v>42</v>
      </c>
      <c r="B43" s="13" t="s">
        <v>8</v>
      </c>
      <c r="C43" s="13" t="s">
        <v>26</v>
      </c>
      <c r="D43" s="13" t="s">
        <v>30</v>
      </c>
      <c r="E43" s="13">
        <v>37.5</v>
      </c>
      <c r="F43" s="13">
        <v>10075784843</v>
      </c>
    </row>
    <row r="44" spans="1:6" ht="15.75" x14ac:dyDescent="0.25">
      <c r="A44" s="13">
        <v>43</v>
      </c>
      <c r="B44" s="13" t="s">
        <v>70</v>
      </c>
      <c r="C44" s="13" t="s">
        <v>29</v>
      </c>
      <c r="D44" s="13" t="s">
        <v>30</v>
      </c>
      <c r="E44" s="13">
        <v>37.5</v>
      </c>
      <c r="F44" s="13">
        <v>10420335721</v>
      </c>
    </row>
    <row r="45" spans="1:6" ht="15.75" x14ac:dyDescent="0.25">
      <c r="A45" s="13">
        <v>44</v>
      </c>
      <c r="B45" s="13" t="s">
        <v>71</v>
      </c>
      <c r="C45" s="13" t="s">
        <v>26</v>
      </c>
      <c r="D45" s="13" t="s">
        <v>27</v>
      </c>
      <c r="E45" s="13">
        <v>35</v>
      </c>
      <c r="F45" s="13">
        <v>15553387369</v>
      </c>
    </row>
    <row r="46" spans="1:6" ht="15.75" x14ac:dyDescent="0.25">
      <c r="A46" s="13">
        <v>45</v>
      </c>
      <c r="B46" s="13" t="s">
        <v>72</v>
      </c>
      <c r="C46" s="13" t="s">
        <v>26</v>
      </c>
      <c r="D46" s="13" t="s">
        <v>30</v>
      </c>
      <c r="E46" s="13">
        <v>37.5</v>
      </c>
      <c r="F46" s="13">
        <v>15555496998</v>
      </c>
    </row>
    <row r="47" spans="1:6" ht="15.75" x14ac:dyDescent="0.25">
      <c r="A47" s="13">
        <v>46</v>
      </c>
      <c r="B47" s="13" t="s">
        <v>73</v>
      </c>
      <c r="C47" s="13" t="s">
        <v>26</v>
      </c>
      <c r="D47" s="13" t="s">
        <v>30</v>
      </c>
      <c r="E47" s="13">
        <v>37.5</v>
      </c>
      <c r="F47" s="13">
        <v>10408742787</v>
      </c>
    </row>
    <row r="48" spans="1:6" ht="15.75" x14ac:dyDescent="0.25">
      <c r="A48" s="13">
        <v>47</v>
      </c>
      <c r="B48" s="13" t="s">
        <v>74</v>
      </c>
      <c r="C48" s="13" t="s">
        <v>26</v>
      </c>
      <c r="D48" s="13" t="s">
        <v>30</v>
      </c>
      <c r="E48" s="13">
        <v>37.5</v>
      </c>
      <c r="F48" s="13">
        <v>10704231861</v>
      </c>
    </row>
    <row r="49" spans="1:6" ht="15.75" x14ac:dyDescent="0.25">
      <c r="A49" s="13">
        <v>48</v>
      </c>
      <c r="B49" s="13" t="s">
        <v>75</v>
      </c>
      <c r="C49" s="13" t="s">
        <v>26</v>
      </c>
      <c r="D49" s="13" t="s">
        <v>39</v>
      </c>
      <c r="E49" s="13">
        <v>40</v>
      </c>
      <c r="F49" s="13">
        <v>15610634319</v>
      </c>
    </row>
    <row r="50" spans="1:6" ht="15.75" x14ac:dyDescent="0.25">
      <c r="A50" s="13">
        <v>49</v>
      </c>
      <c r="B50" s="13" t="s">
        <v>76</v>
      </c>
      <c r="C50" s="13" t="s">
        <v>26</v>
      </c>
      <c r="D50" s="13" t="s">
        <v>30</v>
      </c>
      <c r="E50" s="13">
        <v>37.5</v>
      </c>
      <c r="F50" s="13">
        <v>10413612816</v>
      </c>
    </row>
    <row r="51" spans="1:6" ht="15.75" x14ac:dyDescent="0.25">
      <c r="A51" s="13">
        <v>50</v>
      </c>
      <c r="B51" s="13" t="s">
        <v>77</v>
      </c>
      <c r="C51" s="13" t="s">
        <v>29</v>
      </c>
      <c r="D51" s="13" t="s">
        <v>39</v>
      </c>
      <c r="E51" s="13">
        <v>40</v>
      </c>
      <c r="F51" s="13">
        <v>10437708105</v>
      </c>
    </row>
    <row r="52" spans="1:6" ht="15.75" x14ac:dyDescent="0.25">
      <c r="A52" s="13">
        <v>51</v>
      </c>
      <c r="B52" s="13" t="s">
        <v>78</v>
      </c>
      <c r="C52" s="13" t="s">
        <v>26</v>
      </c>
      <c r="D52" s="13" t="s">
        <v>27</v>
      </c>
      <c r="E52" s="13">
        <v>35</v>
      </c>
      <c r="F52" s="13">
        <v>10094420160</v>
      </c>
    </row>
    <row r="53" spans="1:6" ht="15.75" x14ac:dyDescent="0.25">
      <c r="A53" s="13">
        <v>52</v>
      </c>
      <c r="B53" s="13" t="s">
        <v>79</v>
      </c>
      <c r="C53" s="13" t="s">
        <v>29</v>
      </c>
      <c r="D53" s="13" t="s">
        <v>27</v>
      </c>
      <c r="E53" s="13">
        <v>35</v>
      </c>
      <c r="F53" s="13">
        <v>10411240113</v>
      </c>
    </row>
    <row r="54" spans="1:6" ht="15.75" x14ac:dyDescent="0.25">
      <c r="A54" s="13">
        <v>53</v>
      </c>
      <c r="B54" s="13" t="s">
        <v>80</v>
      </c>
      <c r="C54" s="13" t="s">
        <v>26</v>
      </c>
      <c r="D54" s="13" t="s">
        <v>30</v>
      </c>
      <c r="E54" s="13">
        <v>37.5</v>
      </c>
      <c r="F54" s="13">
        <v>10096106985</v>
      </c>
    </row>
    <row r="55" spans="1:6" ht="15.75" x14ac:dyDescent="0.25">
      <c r="A55" s="13">
        <v>54</v>
      </c>
      <c r="B55" s="13" t="s">
        <v>81</v>
      </c>
      <c r="C55" s="13" t="s">
        <v>26</v>
      </c>
      <c r="D55" s="13" t="s">
        <v>39</v>
      </c>
      <c r="E55" s="13">
        <v>40</v>
      </c>
      <c r="F55" s="13">
        <v>10407698776</v>
      </c>
    </row>
    <row r="56" spans="1:6" ht="15.75" x14ac:dyDescent="0.25">
      <c r="A56" s="13">
        <v>55</v>
      </c>
      <c r="B56" s="13" t="s">
        <v>82</v>
      </c>
      <c r="C56" s="13" t="s">
        <v>26</v>
      </c>
      <c r="D56" s="13" t="s">
        <v>39</v>
      </c>
      <c r="E56" s="13">
        <v>40</v>
      </c>
      <c r="F56" s="13">
        <v>10096779238</v>
      </c>
    </row>
    <row r="57" spans="1:6" ht="15.75" x14ac:dyDescent="0.25">
      <c r="A57" s="13">
        <v>56</v>
      </c>
      <c r="B57" s="13" t="s">
        <v>83</v>
      </c>
      <c r="C57" s="13" t="s">
        <v>26</v>
      </c>
      <c r="D57" s="13" t="s">
        <v>30</v>
      </c>
      <c r="E57" s="13">
        <v>37.5</v>
      </c>
      <c r="F57" s="13">
        <v>10469415428</v>
      </c>
    </row>
    <row r="58" spans="1:6" ht="15.75" x14ac:dyDescent="0.25">
      <c r="A58" s="13">
        <v>57</v>
      </c>
      <c r="B58" s="13" t="s">
        <v>84</v>
      </c>
      <c r="C58" s="13" t="s">
        <v>26</v>
      </c>
      <c r="D58" s="13" t="s">
        <v>39</v>
      </c>
      <c r="E58" s="13">
        <v>40</v>
      </c>
      <c r="F58" s="13">
        <v>10417999928</v>
      </c>
    </row>
    <row r="59" spans="1:6" ht="15.75" x14ac:dyDescent="0.25">
      <c r="A59" s="13">
        <v>58</v>
      </c>
      <c r="B59" s="13" t="s">
        <v>85</v>
      </c>
      <c r="C59" s="13" t="s">
        <v>26</v>
      </c>
      <c r="D59" s="13" t="s">
        <v>39</v>
      </c>
      <c r="E59" s="13">
        <v>40</v>
      </c>
      <c r="F59" s="13">
        <v>10736875191</v>
      </c>
    </row>
    <row r="60" spans="1:6" ht="15.75" x14ac:dyDescent="0.25">
      <c r="A60" s="13">
        <v>59</v>
      </c>
      <c r="B60" s="13" t="s">
        <v>86</v>
      </c>
      <c r="C60" s="13" t="s">
        <v>26</v>
      </c>
      <c r="D60" s="13" t="s">
        <v>30</v>
      </c>
      <c r="E60" s="13">
        <v>37.5</v>
      </c>
      <c r="F60" s="13">
        <v>10201171275</v>
      </c>
    </row>
    <row r="61" spans="1:6" ht="15.75" x14ac:dyDescent="0.25">
      <c r="A61" s="13">
        <v>60</v>
      </c>
      <c r="B61" s="13" t="s">
        <v>87</v>
      </c>
      <c r="C61" s="13" t="s">
        <v>26</v>
      </c>
      <c r="D61" s="13" t="s">
        <v>39</v>
      </c>
      <c r="E61" s="13">
        <v>40</v>
      </c>
      <c r="F61" s="13">
        <v>10402159664</v>
      </c>
    </row>
    <row r="62" spans="1:6" ht="15.75" x14ac:dyDescent="0.25">
      <c r="A62" s="13">
        <v>61</v>
      </c>
      <c r="B62" s="13" t="s">
        <v>88</v>
      </c>
      <c r="C62" s="13" t="s">
        <v>26</v>
      </c>
      <c r="D62" s="13" t="s">
        <v>30</v>
      </c>
      <c r="E62" s="13">
        <v>37.5</v>
      </c>
      <c r="F62" s="13">
        <v>10740269211</v>
      </c>
    </row>
    <row r="63" spans="1:6" ht="15.75" x14ac:dyDescent="0.25">
      <c r="A63" s="13">
        <v>62</v>
      </c>
      <c r="B63" s="8" t="s">
        <v>9</v>
      </c>
      <c r="C63" s="13" t="s">
        <v>26</v>
      </c>
      <c r="D63" s="13" t="s">
        <v>39</v>
      </c>
      <c r="E63" s="13">
        <v>40</v>
      </c>
      <c r="F63" s="13">
        <v>10409430428</v>
      </c>
    </row>
    <row r="64" spans="1:6" ht="15.75" x14ac:dyDescent="0.25">
      <c r="A64" s="13">
        <v>63</v>
      </c>
      <c r="B64" s="13" t="s">
        <v>89</v>
      </c>
      <c r="C64" s="13" t="s">
        <v>26</v>
      </c>
      <c r="D64" s="13" t="s">
        <v>30</v>
      </c>
      <c r="E64" s="13">
        <v>37.5</v>
      </c>
      <c r="F64" s="13">
        <v>10701516147</v>
      </c>
    </row>
    <row r="65" spans="1:6" ht="15.75" x14ac:dyDescent="0.25">
      <c r="A65" s="13">
        <v>64</v>
      </c>
      <c r="B65" s="13" t="s">
        <v>90</v>
      </c>
      <c r="C65" s="13" t="s">
        <v>26</v>
      </c>
      <c r="D65" s="13" t="s">
        <v>27</v>
      </c>
      <c r="E65" s="13">
        <v>35</v>
      </c>
      <c r="F65" s="13">
        <v>10255408530</v>
      </c>
    </row>
    <row r="66" spans="1:6" ht="15.75" x14ac:dyDescent="0.25">
      <c r="A66" s="13">
        <v>65</v>
      </c>
      <c r="B66" s="13" t="s">
        <v>91</v>
      </c>
      <c r="C66" s="13" t="s">
        <v>26</v>
      </c>
      <c r="D66" s="13" t="s">
        <v>30</v>
      </c>
      <c r="E66" s="13">
        <v>37.5</v>
      </c>
      <c r="F66" s="13">
        <v>10040837324</v>
      </c>
    </row>
    <row r="67" spans="1:6" ht="15.75" x14ac:dyDescent="0.25">
      <c r="A67" s="13">
        <v>66</v>
      </c>
      <c r="B67" s="13" t="s">
        <v>92</v>
      </c>
      <c r="C67" s="13" t="s">
        <v>26</v>
      </c>
      <c r="D67" s="13" t="s">
        <v>30</v>
      </c>
      <c r="E67" s="13">
        <v>37.5</v>
      </c>
      <c r="F67" s="13">
        <v>10403008490</v>
      </c>
    </row>
    <row r="68" spans="1:6" ht="15.75" x14ac:dyDescent="0.25">
      <c r="A68" s="13">
        <v>67</v>
      </c>
      <c r="B68" s="13" t="s">
        <v>93</v>
      </c>
      <c r="C68" s="13" t="s">
        <v>26</v>
      </c>
      <c r="D68" s="13" t="s">
        <v>30</v>
      </c>
      <c r="E68" s="13">
        <v>37.5</v>
      </c>
      <c r="F68" s="13">
        <v>10101613360</v>
      </c>
    </row>
    <row r="69" spans="1:6" ht="15.75" x14ac:dyDescent="0.25">
      <c r="A69" s="13">
        <v>68</v>
      </c>
      <c r="B69" s="13" t="s">
        <v>94</v>
      </c>
      <c r="C69" s="13" t="s">
        <v>26</v>
      </c>
      <c r="D69" s="13" t="s">
        <v>27</v>
      </c>
      <c r="E69" s="13">
        <v>35</v>
      </c>
      <c r="F69" s="13">
        <v>1047974066</v>
      </c>
    </row>
    <row r="70" spans="1:6" ht="15.75" x14ac:dyDescent="0.25">
      <c r="A70" s="13">
        <v>69</v>
      </c>
      <c r="B70" s="13" t="s">
        <v>95</v>
      </c>
      <c r="C70" s="13" t="s">
        <v>29</v>
      </c>
      <c r="D70" s="13" t="s">
        <v>39</v>
      </c>
      <c r="E70" s="13">
        <v>40</v>
      </c>
      <c r="F70" s="13">
        <v>10727671299</v>
      </c>
    </row>
    <row r="71" spans="1:6" ht="15.75" x14ac:dyDescent="0.25">
      <c r="A71" s="13">
        <v>70</v>
      </c>
      <c r="B71" s="13" t="s">
        <v>96</v>
      </c>
      <c r="C71" s="13" t="s">
        <v>26</v>
      </c>
      <c r="D71" s="13" t="s">
        <v>27</v>
      </c>
      <c r="E71" s="13">
        <v>35</v>
      </c>
      <c r="F71" s="13">
        <v>10705708008</v>
      </c>
    </row>
    <row r="72" spans="1:6" ht="15.75" x14ac:dyDescent="0.25">
      <c r="A72" s="13">
        <v>71</v>
      </c>
      <c r="B72" s="13" t="s">
        <v>97</v>
      </c>
      <c r="C72" s="13" t="s">
        <v>26</v>
      </c>
      <c r="D72" s="13" t="s">
        <v>30</v>
      </c>
      <c r="E72" s="13">
        <v>37.5</v>
      </c>
      <c r="F72" s="13">
        <v>10100762019</v>
      </c>
    </row>
    <row r="73" spans="1:6" ht="15.75" x14ac:dyDescent="0.25">
      <c r="A73" s="13">
        <v>72</v>
      </c>
      <c r="B73" s="13" t="s">
        <v>98</v>
      </c>
      <c r="C73" s="13" t="s">
        <v>26</v>
      </c>
      <c r="D73" s="13" t="s">
        <v>30</v>
      </c>
      <c r="E73" s="13">
        <v>37.5</v>
      </c>
      <c r="F73" s="13">
        <v>10464490553</v>
      </c>
    </row>
    <row r="74" spans="1:6" ht="15.75" x14ac:dyDescent="0.25">
      <c r="A74" s="13">
        <v>73</v>
      </c>
      <c r="B74" s="13" t="s">
        <v>99</v>
      </c>
      <c r="C74" s="13" t="s">
        <v>26</v>
      </c>
      <c r="D74" s="13" t="s">
        <v>27</v>
      </c>
      <c r="E74" s="13">
        <v>35</v>
      </c>
      <c r="F74" s="13">
        <v>10433109789</v>
      </c>
    </row>
    <row r="75" spans="1:6" ht="15.75" x14ac:dyDescent="0.25">
      <c r="A75" s="13">
        <v>74</v>
      </c>
      <c r="B75" s="13" t="s">
        <v>10</v>
      </c>
      <c r="C75" s="13" t="s">
        <v>26</v>
      </c>
      <c r="D75" s="13" t="s">
        <v>27</v>
      </c>
      <c r="E75" s="13">
        <v>35</v>
      </c>
      <c r="F75" s="13">
        <v>10093423521</v>
      </c>
    </row>
    <row r="76" spans="1:6" ht="15.75" x14ac:dyDescent="0.25">
      <c r="A76" s="13">
        <v>75</v>
      </c>
      <c r="B76" s="13" t="s">
        <v>100</v>
      </c>
      <c r="C76" s="13" t="s">
        <v>26</v>
      </c>
      <c r="D76" s="13" t="s">
        <v>30</v>
      </c>
      <c r="E76" s="13">
        <v>37.5</v>
      </c>
      <c r="F76" s="13">
        <v>10406512091</v>
      </c>
    </row>
    <row r="77" spans="1:6" ht="15.75" x14ac:dyDescent="0.25">
      <c r="A77" s="13">
        <v>76</v>
      </c>
      <c r="B77" s="13" t="s">
        <v>101</v>
      </c>
      <c r="C77" s="13" t="s">
        <v>26</v>
      </c>
      <c r="D77" s="13" t="s">
        <v>27</v>
      </c>
      <c r="E77" s="13">
        <v>35</v>
      </c>
      <c r="F77" s="13">
        <v>10723944720</v>
      </c>
    </row>
    <row r="78" spans="1:6" ht="15.75" x14ac:dyDescent="0.25">
      <c r="A78" s="13">
        <v>77</v>
      </c>
      <c r="B78" s="13" t="s">
        <v>102</v>
      </c>
      <c r="C78" s="13" t="s">
        <v>26</v>
      </c>
      <c r="D78" s="13" t="s">
        <v>39</v>
      </c>
      <c r="E78" s="13">
        <v>40</v>
      </c>
      <c r="F78" s="13">
        <v>10098884110</v>
      </c>
    </row>
    <row r="79" spans="1:6" ht="15.75" x14ac:dyDescent="0.25">
      <c r="A79" s="13">
        <v>78</v>
      </c>
      <c r="B79" s="13" t="s">
        <v>103</v>
      </c>
      <c r="C79" s="13" t="s">
        <v>26</v>
      </c>
      <c r="D79" s="13" t="s">
        <v>30</v>
      </c>
      <c r="E79" s="13">
        <v>37.5</v>
      </c>
      <c r="F79" s="13">
        <v>10080086101</v>
      </c>
    </row>
    <row r="80" spans="1:6" ht="15.75" x14ac:dyDescent="0.25">
      <c r="A80" s="13">
        <v>79</v>
      </c>
      <c r="B80" s="13" t="s">
        <v>104</v>
      </c>
      <c r="C80" s="13" t="s">
        <v>26</v>
      </c>
      <c r="D80" s="13" t="s">
        <v>27</v>
      </c>
      <c r="E80" s="13">
        <v>35</v>
      </c>
      <c r="F80" s="13">
        <v>10457166601</v>
      </c>
    </row>
    <row r="81" spans="1:6" ht="15.75" x14ac:dyDescent="0.25">
      <c r="A81" s="13">
        <v>80</v>
      </c>
      <c r="B81" s="13" t="s">
        <v>11</v>
      </c>
      <c r="C81" s="13" t="s">
        <v>26</v>
      </c>
      <c r="D81" s="13" t="s">
        <v>30</v>
      </c>
      <c r="E81" s="13">
        <v>37.5</v>
      </c>
      <c r="F81" s="13">
        <v>10257820080</v>
      </c>
    </row>
    <row r="82" spans="1:6" ht="15.75" x14ac:dyDescent="0.25">
      <c r="A82" s="13">
        <v>81</v>
      </c>
      <c r="B82" s="13" t="s">
        <v>105</v>
      </c>
      <c r="C82" s="13" t="s">
        <v>26</v>
      </c>
      <c r="D82" s="13" t="s">
        <v>30</v>
      </c>
      <c r="E82" s="13">
        <v>37.5</v>
      </c>
      <c r="F82" s="13">
        <v>10471350431</v>
      </c>
    </row>
    <row r="83" spans="1:6" ht="15.75" x14ac:dyDescent="0.25">
      <c r="A83" s="13">
        <v>82</v>
      </c>
      <c r="B83" s="13" t="s">
        <v>106</v>
      </c>
      <c r="C83" s="13" t="s">
        <v>26</v>
      </c>
      <c r="D83" s="13" t="s">
        <v>27</v>
      </c>
      <c r="E83" s="13">
        <v>35</v>
      </c>
      <c r="F83" s="13">
        <v>10455790005</v>
      </c>
    </row>
    <row r="84" spans="1:6" ht="15.75" x14ac:dyDescent="0.25">
      <c r="A84" s="13">
        <v>83</v>
      </c>
      <c r="B84" s="13" t="s">
        <v>107</v>
      </c>
      <c r="C84" s="13" t="s">
        <v>26</v>
      </c>
      <c r="D84" s="13" t="s">
        <v>27</v>
      </c>
      <c r="E84" s="13">
        <v>35</v>
      </c>
      <c r="F84" s="13">
        <v>10432590815</v>
      </c>
    </row>
    <row r="85" spans="1:6" ht="15.75" x14ac:dyDescent="0.25">
      <c r="A85" s="13">
        <v>84</v>
      </c>
      <c r="B85" s="13" t="s">
        <v>108</v>
      </c>
      <c r="C85" s="13" t="s">
        <v>26</v>
      </c>
      <c r="D85" s="13" t="s">
        <v>27</v>
      </c>
      <c r="E85" s="13">
        <v>35</v>
      </c>
      <c r="F85" s="13">
        <v>10067000132</v>
      </c>
    </row>
    <row r="86" spans="1:6" ht="15.75" x14ac:dyDescent="0.25">
      <c r="A86" s="13">
        <v>85</v>
      </c>
      <c r="B86" s="13" t="s">
        <v>109</v>
      </c>
      <c r="C86" s="13" t="s">
        <v>26</v>
      </c>
      <c r="D86" s="13" t="s">
        <v>30</v>
      </c>
      <c r="E86" s="13">
        <v>37.5</v>
      </c>
      <c r="F86" s="13">
        <v>10713759941</v>
      </c>
    </row>
    <row r="87" spans="1:6" ht="15.75" x14ac:dyDescent="0.25">
      <c r="A87" s="13">
        <v>86</v>
      </c>
      <c r="B87" s="13" t="s">
        <v>110</v>
      </c>
      <c r="C87" s="13" t="s">
        <v>26</v>
      </c>
      <c r="D87" s="13" t="s">
        <v>39</v>
      </c>
      <c r="E87" s="13">
        <v>40</v>
      </c>
      <c r="F87" s="13">
        <v>10095890241</v>
      </c>
    </row>
    <row r="88" spans="1:6" ht="15.75" x14ac:dyDescent="0.25">
      <c r="A88" s="13">
        <v>87</v>
      </c>
      <c r="B88" s="13" t="s">
        <v>111</v>
      </c>
      <c r="C88" s="13" t="s">
        <v>26</v>
      </c>
      <c r="D88" s="13" t="s">
        <v>27</v>
      </c>
      <c r="E88" s="13">
        <v>35</v>
      </c>
      <c r="F88" s="13">
        <v>10707654380</v>
      </c>
    </row>
    <row r="89" spans="1:6" ht="15.75" x14ac:dyDescent="0.25">
      <c r="A89" s="13">
        <v>88</v>
      </c>
      <c r="B89" s="13" t="s">
        <v>112</v>
      </c>
      <c r="C89" s="13" t="s">
        <v>26</v>
      </c>
      <c r="D89" s="13" t="s">
        <v>39</v>
      </c>
      <c r="E89" s="13">
        <v>40</v>
      </c>
      <c r="F89" s="13">
        <v>10064190089</v>
      </c>
    </row>
    <row r="90" spans="1:6" ht="15.75" x14ac:dyDescent="0.25">
      <c r="A90" s="13">
        <v>89</v>
      </c>
      <c r="B90" s="13" t="s">
        <v>113</v>
      </c>
      <c r="C90" s="13" t="s">
        <v>26</v>
      </c>
      <c r="D90" s="13" t="s">
        <v>30</v>
      </c>
      <c r="E90" s="13">
        <v>37.5</v>
      </c>
      <c r="F90" s="13">
        <v>10094151398</v>
      </c>
    </row>
    <row r="91" spans="1:6" ht="15.75" x14ac:dyDescent="0.25">
      <c r="A91" s="13">
        <v>90</v>
      </c>
      <c r="B91" s="13" t="s">
        <v>114</v>
      </c>
      <c r="C91" s="13" t="s">
        <v>26</v>
      </c>
      <c r="D91" s="13" t="s">
        <v>27</v>
      </c>
      <c r="E91" s="13">
        <v>35</v>
      </c>
      <c r="F91" s="13">
        <v>10066760940</v>
      </c>
    </row>
    <row r="92" spans="1:6" ht="15.75" x14ac:dyDescent="0.25">
      <c r="A92" s="13">
        <v>91</v>
      </c>
      <c r="B92" s="13" t="s">
        <v>115</v>
      </c>
      <c r="C92" s="13" t="s">
        <v>26</v>
      </c>
      <c r="D92" s="13" t="s">
        <v>27</v>
      </c>
      <c r="E92" s="13">
        <v>35</v>
      </c>
      <c r="F92" s="13">
        <v>10775406611</v>
      </c>
    </row>
    <row r="93" spans="1:6" ht="15.75" x14ac:dyDescent="0.25">
      <c r="A93" s="13">
        <v>92</v>
      </c>
      <c r="B93" s="13" t="s">
        <v>116</v>
      </c>
      <c r="C93" s="13" t="s">
        <v>29</v>
      </c>
      <c r="D93" s="13" t="s">
        <v>27</v>
      </c>
      <c r="E93" s="13">
        <v>35</v>
      </c>
      <c r="F93" s="13">
        <v>10073503111</v>
      </c>
    </row>
    <row r="94" spans="1:6" ht="15.75" x14ac:dyDescent="0.25">
      <c r="A94" s="13">
        <v>93</v>
      </c>
      <c r="B94" s="13" t="s">
        <v>117</v>
      </c>
      <c r="C94" s="13" t="s">
        <v>26</v>
      </c>
      <c r="D94" s="13" t="s">
        <v>39</v>
      </c>
      <c r="E94" s="13">
        <v>40</v>
      </c>
      <c r="F94" s="13">
        <v>10412760277</v>
      </c>
    </row>
    <row r="95" spans="1:6" ht="15.75" x14ac:dyDescent="0.25">
      <c r="A95" s="13">
        <v>94</v>
      </c>
      <c r="B95" s="13" t="s">
        <v>118</v>
      </c>
      <c r="C95" s="13" t="s">
        <v>26</v>
      </c>
      <c r="D95" s="13" t="s">
        <v>30</v>
      </c>
      <c r="E95" s="13">
        <v>37.5</v>
      </c>
      <c r="F95" s="13">
        <v>10726592191</v>
      </c>
    </row>
    <row r="96" spans="1:6" ht="15.75" x14ac:dyDescent="0.25">
      <c r="A96" s="13">
        <v>95</v>
      </c>
      <c r="B96" s="13" t="s">
        <v>119</v>
      </c>
      <c r="C96" s="13" t="s">
        <v>26</v>
      </c>
      <c r="D96" s="13" t="s">
        <v>27</v>
      </c>
      <c r="E96" s="13">
        <v>35</v>
      </c>
      <c r="F96" s="13">
        <v>10724812584</v>
      </c>
    </row>
    <row r="97" spans="1:6" ht="15.75" x14ac:dyDescent="0.25">
      <c r="A97" s="13">
        <v>96</v>
      </c>
      <c r="B97" s="13" t="s">
        <v>120</v>
      </c>
      <c r="C97" s="13" t="s">
        <v>29</v>
      </c>
      <c r="D97" s="13" t="s">
        <v>27</v>
      </c>
      <c r="E97" s="13">
        <v>35</v>
      </c>
      <c r="F97" s="13">
        <v>10257688459</v>
      </c>
    </row>
    <row r="98" spans="1:6" ht="15.75" x14ac:dyDescent="0.25">
      <c r="A98" s="13">
        <v>97</v>
      </c>
      <c r="B98" s="13" t="s">
        <v>121</v>
      </c>
      <c r="C98" s="13" t="s">
        <v>26</v>
      </c>
      <c r="D98" s="13" t="s">
        <v>39</v>
      </c>
      <c r="E98" s="13">
        <v>40</v>
      </c>
      <c r="F98" s="13">
        <v>10428113611</v>
      </c>
    </row>
    <row r="99" spans="1:6" ht="15.75" x14ac:dyDescent="0.25">
      <c r="A99" s="13">
        <v>98</v>
      </c>
      <c r="B99" s="13" t="s">
        <v>122</v>
      </c>
      <c r="C99" s="13" t="s">
        <v>26</v>
      </c>
      <c r="D99" s="13" t="s">
        <v>30</v>
      </c>
      <c r="E99" s="13">
        <v>37.5</v>
      </c>
      <c r="F99" s="13">
        <v>10427606525</v>
      </c>
    </row>
    <row r="100" spans="1:6" ht="15.75" x14ac:dyDescent="0.25">
      <c r="A100" s="13">
        <v>99</v>
      </c>
      <c r="B100" s="13" t="s">
        <v>123</v>
      </c>
      <c r="C100" s="13" t="s">
        <v>26</v>
      </c>
      <c r="D100" s="13" t="s">
        <v>27</v>
      </c>
      <c r="E100" s="13">
        <v>35</v>
      </c>
      <c r="F100" s="13">
        <v>10102030490</v>
      </c>
    </row>
    <row r="101" spans="1:6" ht="15.75" x14ac:dyDescent="0.25">
      <c r="A101" s="13">
        <v>100</v>
      </c>
      <c r="B101" s="13" t="s">
        <v>124</v>
      </c>
      <c r="C101" s="13" t="s">
        <v>29</v>
      </c>
      <c r="D101" s="13" t="s">
        <v>27</v>
      </c>
      <c r="E101" s="13">
        <v>35</v>
      </c>
      <c r="F101" s="13">
        <v>10458160509</v>
      </c>
    </row>
    <row r="102" spans="1:6" ht="15.75" x14ac:dyDescent="0.25">
      <c r="A102" s="13">
        <v>101</v>
      </c>
      <c r="B102" s="13" t="s">
        <v>12</v>
      </c>
      <c r="C102" s="13" t="s">
        <v>26</v>
      </c>
      <c r="D102" s="13" t="s">
        <v>39</v>
      </c>
      <c r="E102" s="13">
        <v>40</v>
      </c>
      <c r="F102" s="13">
        <v>10729533039</v>
      </c>
    </row>
    <row r="103" spans="1:6" ht="15.75" x14ac:dyDescent="0.25">
      <c r="A103" s="13">
        <v>102</v>
      </c>
      <c r="B103" s="13" t="s">
        <v>125</v>
      </c>
      <c r="C103" s="13" t="s">
        <v>26</v>
      </c>
      <c r="D103" s="13" t="s">
        <v>30</v>
      </c>
      <c r="E103" s="13">
        <v>37.5</v>
      </c>
      <c r="F103" s="13">
        <v>10086856714</v>
      </c>
    </row>
    <row r="104" spans="1:6" ht="15.75" x14ac:dyDescent="0.25">
      <c r="A104" s="13">
        <v>103</v>
      </c>
      <c r="B104" s="13" t="s">
        <v>126</v>
      </c>
      <c r="C104" s="13" t="s">
        <v>26</v>
      </c>
      <c r="D104" s="13" t="s">
        <v>30</v>
      </c>
      <c r="E104" s="13">
        <v>37.5</v>
      </c>
      <c r="F104" s="13">
        <v>10419998538</v>
      </c>
    </row>
    <row r="105" spans="1:6" ht="15.75" x14ac:dyDescent="0.25">
      <c r="A105" s="13">
        <v>104</v>
      </c>
      <c r="B105" s="13" t="s">
        <v>127</v>
      </c>
      <c r="C105" s="13" t="s">
        <v>26</v>
      </c>
      <c r="D105" s="13" t="s">
        <v>30</v>
      </c>
      <c r="E105" s="13">
        <v>37.5</v>
      </c>
      <c r="F105" s="13">
        <v>10754438091</v>
      </c>
    </row>
    <row r="106" spans="1:6" ht="15.75" x14ac:dyDescent="0.25">
      <c r="A106" s="13">
        <v>105</v>
      </c>
      <c r="B106" s="13" t="s">
        <v>128</v>
      </c>
      <c r="C106" s="13" t="s">
        <v>26</v>
      </c>
      <c r="D106" s="13" t="s">
        <v>30</v>
      </c>
      <c r="E106" s="13">
        <v>37.5</v>
      </c>
      <c r="F106" s="13">
        <v>10428542181</v>
      </c>
    </row>
    <row r="107" spans="1:6" ht="15.75" x14ac:dyDescent="0.25">
      <c r="A107" s="13">
        <v>106</v>
      </c>
      <c r="B107" s="13" t="s">
        <v>129</v>
      </c>
      <c r="C107" s="13" t="s">
        <v>26</v>
      </c>
      <c r="D107" s="13" t="s">
        <v>39</v>
      </c>
      <c r="E107" s="13">
        <v>40</v>
      </c>
      <c r="F107" s="13">
        <v>10088345482</v>
      </c>
    </row>
    <row r="108" spans="1:6" ht="15.75" x14ac:dyDescent="0.25">
      <c r="A108" s="13">
        <v>107</v>
      </c>
      <c r="B108" s="13" t="s">
        <v>130</v>
      </c>
      <c r="C108" s="13" t="s">
        <v>26</v>
      </c>
      <c r="D108" s="13" t="s">
        <v>30</v>
      </c>
      <c r="E108" s="13">
        <v>37.5</v>
      </c>
      <c r="F108" s="13">
        <v>10060173244</v>
      </c>
    </row>
    <row r="109" spans="1:6" ht="15.75" x14ac:dyDescent="0.25">
      <c r="A109" s="13">
        <v>108</v>
      </c>
      <c r="B109" s="13" t="s">
        <v>131</v>
      </c>
      <c r="C109" s="13" t="s">
        <v>26</v>
      </c>
      <c r="D109" s="13" t="s">
        <v>27</v>
      </c>
      <c r="E109" s="13">
        <v>35</v>
      </c>
      <c r="F109" s="13">
        <v>15601491891</v>
      </c>
    </row>
    <row r="110" spans="1:6" ht="15.75" x14ac:dyDescent="0.25">
      <c r="A110" s="13">
        <v>109</v>
      </c>
      <c r="B110" s="13" t="s">
        <v>132</v>
      </c>
      <c r="C110" s="13" t="s">
        <v>26</v>
      </c>
      <c r="D110" s="13" t="s">
        <v>30</v>
      </c>
      <c r="E110" s="13">
        <v>37.5</v>
      </c>
      <c r="F110" s="13">
        <v>10077308798</v>
      </c>
    </row>
    <row r="111" spans="1:6" ht="15.75" x14ac:dyDescent="0.25">
      <c r="A111" s="13">
        <v>110</v>
      </c>
      <c r="B111" s="13" t="s">
        <v>133</v>
      </c>
      <c r="C111" s="13" t="s">
        <v>26</v>
      </c>
      <c r="D111" s="13" t="s">
        <v>39</v>
      </c>
      <c r="E111" s="13">
        <v>40</v>
      </c>
      <c r="F111" s="13">
        <v>10413751573</v>
      </c>
    </row>
    <row r="112" spans="1:6" ht="15.75" x14ac:dyDescent="0.25">
      <c r="A112" s="13">
        <v>111</v>
      </c>
      <c r="B112" s="13" t="s">
        <v>134</v>
      </c>
      <c r="C112" s="13" t="s">
        <v>26</v>
      </c>
      <c r="D112" s="13" t="s">
        <v>27</v>
      </c>
      <c r="E112" s="13">
        <v>35</v>
      </c>
      <c r="F112" s="13">
        <v>10419691769</v>
      </c>
    </row>
    <row r="113" spans="1:6" ht="15.75" x14ac:dyDescent="0.25">
      <c r="A113" s="13">
        <v>112</v>
      </c>
      <c r="B113" s="13" t="s">
        <v>135</v>
      </c>
      <c r="C113" s="13" t="s">
        <v>26</v>
      </c>
      <c r="D113" s="13" t="s">
        <v>27</v>
      </c>
      <c r="E113" s="13">
        <v>35</v>
      </c>
      <c r="F113" s="13">
        <v>10473314016</v>
      </c>
    </row>
    <row r="114" spans="1:6" ht="15.75" x14ac:dyDescent="0.25">
      <c r="A114" s="13">
        <v>113</v>
      </c>
      <c r="B114" s="13" t="s">
        <v>136</v>
      </c>
      <c r="C114" s="13" t="s">
        <v>26</v>
      </c>
      <c r="D114" s="13" t="s">
        <v>27</v>
      </c>
      <c r="E114" s="13">
        <v>35</v>
      </c>
      <c r="F114" s="13">
        <v>10085637431</v>
      </c>
    </row>
    <row r="115" spans="1:6" ht="15.75" x14ac:dyDescent="0.25">
      <c r="A115" s="13">
        <v>114</v>
      </c>
      <c r="B115" s="13" t="s">
        <v>137</v>
      </c>
      <c r="C115" s="13" t="s">
        <v>29</v>
      </c>
      <c r="D115" s="13" t="s">
        <v>30</v>
      </c>
      <c r="E115" s="13">
        <v>37.5</v>
      </c>
      <c r="F115" s="13">
        <v>10074516501</v>
      </c>
    </row>
    <row r="116" spans="1:6" ht="15.75" x14ac:dyDescent="0.25">
      <c r="A116" s="13">
        <v>115</v>
      </c>
      <c r="B116" s="13" t="s">
        <v>138</v>
      </c>
      <c r="C116" s="13" t="s">
        <v>26</v>
      </c>
      <c r="D116" s="13" t="s">
        <v>30</v>
      </c>
      <c r="E116" s="13">
        <v>37.5</v>
      </c>
      <c r="F116" s="13">
        <v>10477227606</v>
      </c>
    </row>
    <row r="117" spans="1:6" ht="15.75" x14ac:dyDescent="0.25">
      <c r="A117" s="13">
        <v>116</v>
      </c>
      <c r="B117" s="13" t="s">
        <v>139</v>
      </c>
      <c r="C117" s="13" t="s">
        <v>26</v>
      </c>
      <c r="D117" s="13" t="s">
        <v>27</v>
      </c>
      <c r="E117" s="13">
        <v>35</v>
      </c>
      <c r="F117" s="13">
        <v>10412953229</v>
      </c>
    </row>
    <row r="118" spans="1:6" ht="15.75" x14ac:dyDescent="0.25">
      <c r="A118" s="13">
        <v>117</v>
      </c>
      <c r="B118" s="13" t="s">
        <v>140</v>
      </c>
      <c r="C118" s="13" t="s">
        <v>29</v>
      </c>
      <c r="D118" s="13" t="s">
        <v>27</v>
      </c>
      <c r="E118" s="13">
        <v>35</v>
      </c>
      <c r="F118" s="13">
        <v>10730336158</v>
      </c>
    </row>
    <row r="119" spans="1:6" ht="15.75" x14ac:dyDescent="0.25">
      <c r="A119" s="13">
        <v>118</v>
      </c>
      <c r="B119" s="13" t="s">
        <v>141</v>
      </c>
      <c r="C119" s="13" t="s">
        <v>29</v>
      </c>
      <c r="D119" s="13" t="s">
        <v>39</v>
      </c>
      <c r="E119" s="13">
        <v>40</v>
      </c>
      <c r="F119" s="13">
        <v>10457605591</v>
      </c>
    </row>
    <row r="120" spans="1:6" ht="15.75" x14ac:dyDescent="0.25">
      <c r="A120" s="13">
        <v>119</v>
      </c>
      <c r="B120" s="13" t="s">
        <v>142</v>
      </c>
      <c r="C120" s="13" t="s">
        <v>26</v>
      </c>
      <c r="D120" s="13" t="s">
        <v>39</v>
      </c>
      <c r="E120" s="13">
        <v>40</v>
      </c>
      <c r="F120" s="13">
        <v>10106168712</v>
      </c>
    </row>
    <row r="121" spans="1:6" ht="15.75" x14ac:dyDescent="0.25">
      <c r="A121" s="13">
        <v>120</v>
      </c>
      <c r="B121" s="13" t="s">
        <v>143</v>
      </c>
      <c r="C121" s="13" t="s">
        <v>26</v>
      </c>
      <c r="D121" s="13" t="s">
        <v>30</v>
      </c>
      <c r="E121" s="13">
        <v>37.5</v>
      </c>
      <c r="F121" s="13">
        <v>10073491938</v>
      </c>
    </row>
    <row r="122" spans="1:6" ht="15.75" x14ac:dyDescent="0.25">
      <c r="A122" s="13">
        <v>121</v>
      </c>
      <c r="B122" s="13" t="s">
        <v>144</v>
      </c>
      <c r="C122" s="13" t="s">
        <v>29</v>
      </c>
      <c r="D122" s="13" t="s">
        <v>27</v>
      </c>
      <c r="E122" s="13">
        <v>35</v>
      </c>
      <c r="F122" s="13">
        <v>10426927077</v>
      </c>
    </row>
    <row r="123" spans="1:6" ht="15.75" x14ac:dyDescent="0.25">
      <c r="A123" s="13">
        <v>122</v>
      </c>
      <c r="B123" s="13" t="s">
        <v>145</v>
      </c>
      <c r="C123" s="13" t="s">
        <v>26</v>
      </c>
      <c r="D123" s="13" t="s">
        <v>30</v>
      </c>
      <c r="E123" s="13">
        <v>37.5</v>
      </c>
      <c r="F123" s="13">
        <v>10441323668</v>
      </c>
    </row>
    <row r="124" spans="1:6" ht="15.75" x14ac:dyDescent="0.25">
      <c r="A124" s="13">
        <v>123</v>
      </c>
      <c r="B124" s="13" t="s">
        <v>146</v>
      </c>
      <c r="C124" s="13" t="s">
        <v>26</v>
      </c>
      <c r="D124" s="13" t="s">
        <v>30</v>
      </c>
      <c r="E124" s="13">
        <v>37.5</v>
      </c>
      <c r="F124" s="13">
        <v>10256193111</v>
      </c>
    </row>
    <row r="125" spans="1:6" ht="15.75" x14ac:dyDescent="0.25">
      <c r="A125" s="13">
        <v>124</v>
      </c>
      <c r="B125" s="13" t="s">
        <v>147</v>
      </c>
      <c r="C125" s="13" t="s">
        <v>26</v>
      </c>
      <c r="D125" s="13" t="s">
        <v>30</v>
      </c>
      <c r="E125" s="13">
        <v>37.5</v>
      </c>
      <c r="F125" s="13">
        <v>10106515340</v>
      </c>
    </row>
    <row r="126" spans="1:6" ht="15.75" x14ac:dyDescent="0.25">
      <c r="A126" s="13">
        <v>125</v>
      </c>
      <c r="B126" s="13" t="s">
        <v>148</v>
      </c>
      <c r="C126" s="13" t="s">
        <v>26</v>
      </c>
      <c r="D126" s="13" t="s">
        <v>39</v>
      </c>
      <c r="E126" s="13">
        <v>40</v>
      </c>
      <c r="F126" s="13">
        <v>10474902850</v>
      </c>
    </row>
    <row r="127" spans="1:6" ht="15.75" x14ac:dyDescent="0.25">
      <c r="A127" s="13">
        <v>126</v>
      </c>
      <c r="B127" s="13" t="s">
        <v>149</v>
      </c>
      <c r="C127" s="13" t="s">
        <v>26</v>
      </c>
      <c r="D127" s="13" t="s">
        <v>30</v>
      </c>
      <c r="E127" s="13">
        <v>37.5</v>
      </c>
      <c r="F127" s="13">
        <v>10449450596</v>
      </c>
    </row>
    <row r="128" spans="1:6" ht="15.75" x14ac:dyDescent="0.25">
      <c r="A128" s="13">
        <v>127</v>
      </c>
      <c r="B128" s="13" t="s">
        <v>150</v>
      </c>
      <c r="C128" s="13" t="s">
        <v>29</v>
      </c>
      <c r="D128" s="13" t="s">
        <v>27</v>
      </c>
      <c r="E128" s="13">
        <v>35</v>
      </c>
      <c r="F128" s="13">
        <v>10097771125</v>
      </c>
    </row>
    <row r="129" spans="1:6" ht="15.75" x14ac:dyDescent="0.25">
      <c r="A129" s="13">
        <v>128</v>
      </c>
      <c r="B129" s="13" t="s">
        <v>151</v>
      </c>
      <c r="C129" s="13" t="s">
        <v>26</v>
      </c>
      <c r="D129" s="13" t="s">
        <v>27</v>
      </c>
      <c r="E129" s="13">
        <v>35</v>
      </c>
      <c r="F129" s="13">
        <v>10453680512</v>
      </c>
    </row>
    <row r="130" spans="1:6" ht="15.75" x14ac:dyDescent="0.25">
      <c r="A130" s="13">
        <v>129</v>
      </c>
      <c r="B130" s="13" t="s">
        <v>152</v>
      </c>
      <c r="C130" s="13" t="s">
        <v>29</v>
      </c>
      <c r="D130" s="13" t="s">
        <v>30</v>
      </c>
      <c r="E130" s="13">
        <v>37.5</v>
      </c>
      <c r="F130" s="13">
        <v>10104376679</v>
      </c>
    </row>
    <row r="131" spans="1:6" ht="15.75" x14ac:dyDescent="0.25">
      <c r="A131" s="13">
        <v>130</v>
      </c>
      <c r="B131" s="13" t="s">
        <v>153</v>
      </c>
      <c r="C131" s="13" t="s">
        <v>26</v>
      </c>
      <c r="D131" s="13" t="s">
        <v>30</v>
      </c>
      <c r="E131" s="13">
        <v>37.5</v>
      </c>
      <c r="F131" s="13">
        <v>10428719668</v>
      </c>
    </row>
    <row r="132" spans="1:6" ht="15.75" x14ac:dyDescent="0.25">
      <c r="A132" s="13">
        <v>131</v>
      </c>
      <c r="B132" s="13" t="s">
        <v>154</v>
      </c>
      <c r="C132" s="13" t="s">
        <v>26</v>
      </c>
      <c r="D132" s="13" t="s">
        <v>30</v>
      </c>
      <c r="E132" s="13">
        <v>37.5</v>
      </c>
      <c r="F132" s="13">
        <v>10080504549</v>
      </c>
    </row>
    <row r="133" spans="1:6" ht="15.75" x14ac:dyDescent="0.25">
      <c r="A133" s="13">
        <v>132</v>
      </c>
      <c r="B133" s="13" t="s">
        <v>155</v>
      </c>
      <c r="C133" s="13" t="s">
        <v>26</v>
      </c>
      <c r="D133" s="13" t="s">
        <v>27</v>
      </c>
      <c r="E133" s="13">
        <v>35</v>
      </c>
      <c r="F133" s="13">
        <v>10734422199</v>
      </c>
    </row>
    <row r="134" spans="1:6" ht="15.75" x14ac:dyDescent="0.25">
      <c r="A134" s="13">
        <v>133</v>
      </c>
      <c r="B134" s="13" t="s">
        <v>156</v>
      </c>
      <c r="C134" s="13" t="s">
        <v>26</v>
      </c>
      <c r="D134" s="13" t="s">
        <v>30</v>
      </c>
      <c r="E134" s="13">
        <v>37.5</v>
      </c>
      <c r="F134" s="13">
        <v>10335990973</v>
      </c>
    </row>
    <row r="135" spans="1:6" ht="15.75" x14ac:dyDescent="0.25">
      <c r="A135" s="13">
        <v>134</v>
      </c>
      <c r="B135" s="13" t="s">
        <v>157</v>
      </c>
      <c r="C135" s="13" t="s">
        <v>26</v>
      </c>
      <c r="D135" s="13" t="s">
        <v>30</v>
      </c>
      <c r="E135" s="13">
        <v>37.5</v>
      </c>
      <c r="F135" s="13">
        <v>10460174665</v>
      </c>
    </row>
    <row r="136" spans="1:6" ht="15.75" x14ac:dyDescent="0.25">
      <c r="A136" s="13">
        <v>135</v>
      </c>
      <c r="B136" s="13" t="s">
        <v>158</v>
      </c>
      <c r="C136" s="13" t="s">
        <v>26</v>
      </c>
      <c r="D136" s="13" t="s">
        <v>27</v>
      </c>
      <c r="E136" s="13">
        <v>35</v>
      </c>
      <c r="F136" s="13">
        <v>10479740661</v>
      </c>
    </row>
    <row r="137" spans="1:6" ht="15.75" x14ac:dyDescent="0.25">
      <c r="A137" s="13">
        <v>136</v>
      </c>
      <c r="B137" s="13" t="s">
        <v>159</v>
      </c>
      <c r="C137" s="13" t="s">
        <v>29</v>
      </c>
      <c r="D137" s="13" t="s">
        <v>30</v>
      </c>
      <c r="E137" s="13">
        <v>37.5</v>
      </c>
      <c r="F137" s="13">
        <v>10074516501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registros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Contratado 36 FLCH</dc:creator>
  <cp:lastModifiedBy>Rodrigo Estefano Davila Vasquez</cp:lastModifiedBy>
  <dcterms:created xsi:type="dcterms:W3CDTF">2025-05-12T15:24:33Z</dcterms:created>
  <dcterms:modified xsi:type="dcterms:W3CDTF">2025-05-29T15:44:38Z</dcterms:modified>
</cp:coreProperties>
</file>