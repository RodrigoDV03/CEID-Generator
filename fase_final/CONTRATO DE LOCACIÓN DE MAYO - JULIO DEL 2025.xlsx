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odri\Escritorio\CEID-Generator\fase_final\"/>
    </mc:Choice>
  </mc:AlternateContent>
  <xr:revisionPtr revIDLastSave="0" documentId="13_ncr:1_{FB58231F-3897-4216-8C93-83D76643D1E1}" xr6:coauthVersionLast="47" xr6:coauthVersionMax="47" xr10:uidLastSave="{00000000-0000-0000-0000-000000000000}"/>
  <bookViews>
    <workbookView xWindow="-120" yWindow="-120" windowWidth="29040" windowHeight="15720" xr2:uid="{D8E6E1D4-505E-41A5-AF22-A40DA620D14D}"/>
  </bookViews>
  <sheets>
    <sheet name="CONTRATOS" sheetId="2" r:id="rId1"/>
  </sheets>
  <definedNames>
    <definedName name="_xlnm._FilterDatabase" localSheetId="0" hidden="1">CONTRATOS!$A$1:$K$52</definedName>
    <definedName name="tablaBD">#REF!</definedName>
    <definedName name="tablaDocente">#REF!</definedName>
    <definedName name="_xlnm.Print_Titles" localSheetId="0">CONTRATOS!$1:$1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2" l="1"/>
  <c r="H52" i="2"/>
  <c r="I52" i="2"/>
  <c r="J3" i="2"/>
  <c r="J4" i="2"/>
  <c r="J5" i="2"/>
  <c r="J6" i="2"/>
  <c r="J7" i="2"/>
  <c r="J8" i="2"/>
  <c r="J12" i="2"/>
  <c r="J9" i="2"/>
  <c r="J10" i="2"/>
  <c r="J11" i="2"/>
  <c r="J14" i="2"/>
  <c r="J15" i="2"/>
  <c r="J16" i="2"/>
  <c r="J17" i="2"/>
  <c r="J18" i="2"/>
  <c r="J19" i="2"/>
  <c r="J13" i="2"/>
  <c r="J20" i="2"/>
  <c r="J22" i="2"/>
  <c r="J21" i="2"/>
  <c r="J25" i="2"/>
  <c r="J23" i="2"/>
  <c r="J24" i="2"/>
  <c r="J29" i="2"/>
  <c r="J37" i="2"/>
  <c r="J26" i="2"/>
  <c r="J27" i="2"/>
  <c r="J28" i="2"/>
  <c r="J30" i="2"/>
  <c r="J31" i="2"/>
  <c r="J32" i="2"/>
  <c r="J33" i="2"/>
  <c r="J34" i="2"/>
  <c r="J41" i="2"/>
  <c r="J35" i="2"/>
  <c r="J47" i="2"/>
  <c r="J36" i="2"/>
  <c r="J38" i="2"/>
  <c r="J39" i="2"/>
  <c r="J40" i="2"/>
  <c r="J42" i="2"/>
  <c r="J43" i="2"/>
  <c r="J44" i="2"/>
  <c r="J45" i="2"/>
  <c r="J46" i="2"/>
  <c r="J48" i="2"/>
  <c r="J49" i="2"/>
  <c r="J50" i="2"/>
  <c r="J51" i="2"/>
  <c r="J2" i="2"/>
  <c r="J52" i="2" l="1"/>
</calcChain>
</file>

<file path=xl/sharedStrings.xml><?xml version="1.0" encoding="utf-8"?>
<sst xmlns="http://schemas.openxmlformats.org/spreadsheetml/2006/main" count="111" uniqueCount="65">
  <si>
    <t>Nº</t>
  </si>
  <si>
    <t>Especialidad</t>
  </si>
  <si>
    <t>CARGA MAYO</t>
  </si>
  <si>
    <t>CARGA JUNIO</t>
  </si>
  <si>
    <t>CARGA JULIO</t>
  </si>
  <si>
    <t>Mayo Monto 
S/</t>
  </si>
  <si>
    <t>Junio Monto 
S/</t>
  </si>
  <si>
    <t>Julio Monto 
S/</t>
  </si>
  <si>
    <t>Abarca Chavez, Tania Tatiana</t>
  </si>
  <si>
    <t>Inglés</t>
  </si>
  <si>
    <t>Acosta Cantu, Kelly Marilyn</t>
  </si>
  <si>
    <t>Alves Vieira, Vera Helena</t>
  </si>
  <si>
    <t>Portugués</t>
  </si>
  <si>
    <t>Caceres Bobadilla, Yuri Fernando</t>
  </si>
  <si>
    <t>Cacho Huertas, Rosa Enriqueta</t>
  </si>
  <si>
    <t>Castellares Fuentes Davila, Miguel Angel</t>
  </si>
  <si>
    <t>Castillo Hidalgo, Rocio</t>
  </si>
  <si>
    <t>De La Cruz Delgado, Blanca Margarita</t>
  </si>
  <si>
    <t>Celis Sologuren, Pablo Alberto</t>
  </si>
  <si>
    <t>Chuchon Urbina, Jesús Manuel</t>
  </si>
  <si>
    <t>Cordova Ochoa, Lydia Maria</t>
  </si>
  <si>
    <t>Escobar Barzola, Devora Miriam</t>
  </si>
  <si>
    <t>Espino Vegas, Dalia Mercedes</t>
  </si>
  <si>
    <t>Filips Atachagua, Karina Jessica</t>
  </si>
  <si>
    <t>Gamarra Sequeiros, Edy Roy</t>
  </si>
  <si>
    <t>Gamboa Hernandez, Miriam Lizeth</t>
  </si>
  <si>
    <t>Garcia Medina, Ruben Leonardo</t>
  </si>
  <si>
    <t>Diaz Corcuera, Andres</t>
  </si>
  <si>
    <t>Giron Villar, Margarita Elsi</t>
  </si>
  <si>
    <t>Hallasi Ancori, Miozelit Ailuj</t>
  </si>
  <si>
    <t>Granda Lazaro, Yesica Karin</t>
  </si>
  <si>
    <t>Leandro Vadillo, Wilder</t>
  </si>
  <si>
    <t>Huaman Rodriguez, Marlene Yulissa</t>
  </si>
  <si>
    <t>Hurtado Briones, Rosa Elena</t>
  </si>
  <si>
    <t>Padilla Romero, Kjory</t>
  </si>
  <si>
    <t>Silva Cavalcante, Maria Roza Mary</t>
  </si>
  <si>
    <t>Melendez Leon, Sandro Francisco</t>
  </si>
  <si>
    <t>Italiano</t>
  </si>
  <si>
    <t>Mera Rodriguez, Jacqueline Yrene</t>
  </si>
  <si>
    <t>Olortegui Bazán , Giuliana Anali</t>
  </si>
  <si>
    <t>Phillipps Zegarra, Maria De Las Nieves</t>
  </si>
  <si>
    <t>Ponce Huamani, Ivan Derian</t>
  </si>
  <si>
    <t>Ponce Salazar, Edwin Carlos</t>
  </si>
  <si>
    <t>Powlison, Alan Augusto</t>
  </si>
  <si>
    <t>Ramirez Arica, Harry Williams</t>
  </si>
  <si>
    <t>Tintaya Quille, María Estela</t>
  </si>
  <si>
    <t>Rojas Vilca, Giuliana Rosa</t>
  </si>
  <si>
    <t>Valle Echevarria, Ana Bárbara</t>
  </si>
  <si>
    <t>Santillán López, Eloy</t>
  </si>
  <si>
    <t>Sulca Gómez, René</t>
  </si>
  <si>
    <t>Tello Parra, Jose Luis</t>
  </si>
  <si>
    <t>Terrones Puntay, Weslly Paola</t>
  </si>
  <si>
    <t>Toribio Pilco, Claudia Dalma</t>
  </si>
  <si>
    <t>Torres Quedo, Edy Isabel</t>
  </si>
  <si>
    <t>Trinidad Estupiñan, Nestor Jesus</t>
  </si>
  <si>
    <t>Trujillo Hidalgo, Guadalupe Mirella</t>
  </si>
  <si>
    <t>Turriate Chavez, Jairo Jaime</t>
  </si>
  <si>
    <t>Francés</t>
  </si>
  <si>
    <t>Valverde Rabanal, Giovana Margot</t>
  </si>
  <si>
    <t>Vasquez Guivar, Ivan Javier</t>
  </si>
  <si>
    <t>Vega Saldaña, Sixto Alfredo</t>
  </si>
  <si>
    <t>Zhang Huamaccto, Liang Mell</t>
  </si>
  <si>
    <t>Docente</t>
  </si>
  <si>
    <t>Nro Contrato</t>
  </si>
  <si>
    <t>Monto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</si>
</sst>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S/-280A]\ * #,##0.00_-;\-[$S/-280A]\ * #,##0.00_-;_-[$S/-280A]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2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1" fillId="0" borderId="0" xfId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6" fillId="2" borderId="2" xfId="1" applyFont="1" applyFill="1" applyBorder="1" applyAlignment="1">
      <alignment horizontal="left" vertical="center"/>
    </xf>
    <xf numFmtId="0" fontId="6" fillId="2" borderId="2" xfId="1" applyFont="1" applyFill="1" applyBorder="1" applyAlignment="1">
      <alignment horizontal="center" vertical="center"/>
    </xf>
    <xf numFmtId="164" fontId="6" fillId="2" borderId="2" xfId="1" applyNumberFormat="1" applyFont="1" applyFill="1" applyBorder="1" applyAlignment="1">
      <alignment horizontal="center" vertical="center" wrapText="1"/>
    </xf>
    <xf numFmtId="164" fontId="6" fillId="3" borderId="2" xfId="1" applyNumberFormat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/>
    </xf>
    <xf numFmtId="0" fontId="1" fillId="0" borderId="0" xfId="1" applyAlignment="1">
      <alignment vertical="center"/>
    </xf>
    <xf numFmtId="0" fontId="6" fillId="2" borderId="2" xfId="0" applyFont="1" applyFill="1" applyBorder="1" applyAlignment="1">
      <alignment vertical="center"/>
    </xf>
    <xf numFmtId="0" fontId="6" fillId="2" borderId="2" xfId="1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2" xfId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" fillId="4" borderId="0" xfId="1" applyFill="1" applyAlignment="1">
      <alignment vertical="center"/>
    </xf>
    <xf numFmtId="164" fontId="3" fillId="0" borderId="1" xfId="1" applyNumberFormat="1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164" fontId="3" fillId="0" borderId="4" xfId="1" applyNumberFormat="1" applyFont="1" applyBorder="1" applyAlignment="1">
      <alignment vertical="center"/>
    </xf>
    <xf numFmtId="0" fontId="5" fillId="0" borderId="2" xfId="1" applyFont="1" applyBorder="1" applyAlignment="1">
      <alignment horizontal="center" vertical="center"/>
    </xf>
  </cellXfs>
  <cellStyles count="2">
    <cellStyle name="Normal" xfId="0" builtinId="0"/>
    <cellStyle name="Normal 2" xfId="1" xr:uid="{B0040557-357F-47F3-8B54-017D443E313C}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A7C3-0607-4D8C-8424-A47D3C4B4E16}">
  <sheetPr>
    <pageSetUpPr fitToPage="1"/>
  </sheetPr>
  <dimension ref="A1:K52"/>
  <sheetViews>
    <sheetView showGridLines="0" tabSelected="1" zoomScale="110" zoomScaleNormal="110" workbookViewId="0">
      <selection activeCell="B10" sqref="B10"/>
    </sheetView>
  </sheetViews>
  <sheetFormatPr baseColWidth="10" defaultColWidth="11.5703125" defaultRowHeight="15" x14ac:dyDescent="0.25"/>
  <cols>
    <col min="1" max="1" width="6.140625" style="11" bestFit="1" customWidth="1"/>
    <col min="2" max="2" width="39.5703125" style="11" bestFit="1" customWidth="1"/>
    <col min="3" max="3" width="16.140625" style="1" bestFit="1" customWidth="1"/>
    <col min="4" max="5" width="19.85546875" style="1" hidden="1" customWidth="1"/>
    <col min="6" max="6" width="19.42578125" style="1" hidden="1" customWidth="1"/>
    <col min="7" max="8" width="13.85546875" style="1" hidden="1" customWidth="1"/>
    <col min="9" max="9" width="16.85546875" style="1" hidden="1" customWidth="1"/>
    <col min="10" max="10" width="21.28515625" style="11" bestFit="1" customWidth="1"/>
    <col min="11" max="11" width="16.42578125" style="11" bestFit="1" customWidth="1"/>
    <col min="12" max="16384" width="11.5703125" style="11"/>
  </cols>
  <sheetData>
    <row r="1" spans="1:11" ht="48.6" customHeight="1" x14ac:dyDescent="0.25">
      <c r="A1" s="21" t="s">
        <v>0</v>
      </c>
      <c r="B1" s="21" t="s">
        <v>62</v>
      </c>
      <c r="C1" s="21" t="s">
        <v>1</v>
      </c>
      <c r="D1" s="21" t="s">
        <v>2</v>
      </c>
      <c r="E1" s="21" t="s">
        <v>3</v>
      </c>
      <c r="F1" s="21" t="s">
        <v>4</v>
      </c>
      <c r="G1" s="4" t="s">
        <v>5</v>
      </c>
      <c r="H1" s="4" t="s">
        <v>6</v>
      </c>
      <c r="I1" s="4" t="s">
        <v>7</v>
      </c>
      <c r="J1" s="4" t="s">
        <v>64</v>
      </c>
      <c r="K1" s="21" t="s">
        <v>63</v>
      </c>
    </row>
    <row r="2" spans="1:11" ht="31.9" customHeight="1" x14ac:dyDescent="0.25">
      <c r="A2" s="6">
        <v>1</v>
      </c>
      <c r="B2" s="5" t="s">
        <v>8</v>
      </c>
      <c r="C2" s="6" t="s">
        <v>9</v>
      </c>
      <c r="D2" s="6">
        <v>2</v>
      </c>
      <c r="E2" s="6">
        <v>2</v>
      </c>
      <c r="F2" s="6">
        <v>2</v>
      </c>
      <c r="G2" s="7">
        <v>2240</v>
      </c>
      <c r="H2" s="7">
        <v>2240</v>
      </c>
      <c r="I2" s="7">
        <v>2240</v>
      </c>
      <c r="J2" s="8">
        <f t="shared" ref="J2:J33" si="0">G2+H2+I2</f>
        <v>6720</v>
      </c>
      <c r="K2" s="3">
        <v>149</v>
      </c>
    </row>
    <row r="3" spans="1:11" ht="16.149999999999999" customHeight="1" x14ac:dyDescent="0.25">
      <c r="A3" s="6">
        <v>2</v>
      </c>
      <c r="B3" s="5" t="s">
        <v>10</v>
      </c>
      <c r="C3" s="6" t="s">
        <v>9</v>
      </c>
      <c r="D3" s="6">
        <v>2</v>
      </c>
      <c r="E3" s="6">
        <v>2</v>
      </c>
      <c r="F3" s="6">
        <v>2</v>
      </c>
      <c r="G3" s="7">
        <v>2400</v>
      </c>
      <c r="H3" s="7">
        <v>2400</v>
      </c>
      <c r="I3" s="7">
        <v>2400</v>
      </c>
      <c r="J3" s="8">
        <f t="shared" si="0"/>
        <v>7200</v>
      </c>
      <c r="K3" s="3">
        <v>150</v>
      </c>
    </row>
    <row r="4" spans="1:11" ht="18.75" x14ac:dyDescent="0.25">
      <c r="A4" s="6">
        <v>3</v>
      </c>
      <c r="B4" s="10" t="s">
        <v>11</v>
      </c>
      <c r="C4" s="9" t="s">
        <v>12</v>
      </c>
      <c r="D4" s="6">
        <v>2</v>
      </c>
      <c r="E4" s="6">
        <v>2</v>
      </c>
      <c r="F4" s="6">
        <v>2</v>
      </c>
      <c r="G4" s="7">
        <v>2400</v>
      </c>
      <c r="H4" s="7">
        <v>2400</v>
      </c>
      <c r="I4" s="7">
        <v>2400</v>
      </c>
      <c r="J4" s="8">
        <f t="shared" si="0"/>
        <v>7200</v>
      </c>
      <c r="K4" s="3">
        <v>151</v>
      </c>
    </row>
    <row r="5" spans="1:11" ht="18.75" x14ac:dyDescent="0.25">
      <c r="A5" s="6">
        <v>4</v>
      </c>
      <c r="B5" s="5" t="s">
        <v>13</v>
      </c>
      <c r="C5" s="6" t="s">
        <v>9</v>
      </c>
      <c r="D5" s="6">
        <v>3</v>
      </c>
      <c r="E5" s="6">
        <v>3</v>
      </c>
      <c r="F5" s="6">
        <v>3</v>
      </c>
      <c r="G5" s="7">
        <v>3600</v>
      </c>
      <c r="H5" s="7">
        <v>3600</v>
      </c>
      <c r="I5" s="7">
        <v>3600</v>
      </c>
      <c r="J5" s="8">
        <f t="shared" si="0"/>
        <v>10800</v>
      </c>
      <c r="K5" s="3">
        <v>152</v>
      </c>
    </row>
    <row r="6" spans="1:11" ht="18.75" x14ac:dyDescent="0.25">
      <c r="A6" s="6">
        <v>5</v>
      </c>
      <c r="B6" s="5" t="s">
        <v>14</v>
      </c>
      <c r="C6" s="6" t="s">
        <v>9</v>
      </c>
      <c r="D6" s="6">
        <v>2</v>
      </c>
      <c r="E6" s="6">
        <v>2</v>
      </c>
      <c r="F6" s="6">
        <v>2</v>
      </c>
      <c r="G6" s="7">
        <v>2560</v>
      </c>
      <c r="H6" s="7">
        <v>2560</v>
      </c>
      <c r="I6" s="7">
        <v>2560</v>
      </c>
      <c r="J6" s="8">
        <f t="shared" si="0"/>
        <v>7680</v>
      </c>
      <c r="K6" s="3">
        <v>154</v>
      </c>
    </row>
    <row r="7" spans="1:11" ht="18.75" x14ac:dyDescent="0.25">
      <c r="A7" s="6">
        <v>6</v>
      </c>
      <c r="B7" s="5" t="s">
        <v>15</v>
      </c>
      <c r="C7" s="6" t="s">
        <v>9</v>
      </c>
      <c r="D7" s="6">
        <v>2</v>
      </c>
      <c r="E7" s="6">
        <v>2</v>
      </c>
      <c r="F7" s="6">
        <v>2</v>
      </c>
      <c r="G7" s="7">
        <v>2400</v>
      </c>
      <c r="H7" s="7">
        <v>2400</v>
      </c>
      <c r="I7" s="7">
        <v>2400</v>
      </c>
      <c r="J7" s="8">
        <f t="shared" si="0"/>
        <v>7200</v>
      </c>
      <c r="K7" s="3">
        <v>153</v>
      </c>
    </row>
    <row r="8" spans="1:11" ht="18.75" x14ac:dyDescent="0.25">
      <c r="A8" s="6">
        <v>7</v>
      </c>
      <c r="B8" s="5" t="s">
        <v>16</v>
      </c>
      <c r="C8" s="6" t="s">
        <v>9</v>
      </c>
      <c r="D8" s="6">
        <v>2</v>
      </c>
      <c r="E8" s="6">
        <v>2</v>
      </c>
      <c r="F8" s="6">
        <v>2</v>
      </c>
      <c r="G8" s="7">
        <v>2560</v>
      </c>
      <c r="H8" s="7">
        <v>2560</v>
      </c>
      <c r="I8" s="7">
        <v>2560</v>
      </c>
      <c r="J8" s="8">
        <f t="shared" si="0"/>
        <v>7680</v>
      </c>
      <c r="K8" s="3">
        <v>155</v>
      </c>
    </row>
    <row r="9" spans="1:11" ht="18.75" x14ac:dyDescent="0.25">
      <c r="A9" s="6">
        <v>8</v>
      </c>
      <c r="B9" s="13" t="s">
        <v>18</v>
      </c>
      <c r="C9" s="6" t="s">
        <v>9</v>
      </c>
      <c r="D9" s="6">
        <v>3</v>
      </c>
      <c r="E9" s="6">
        <v>3</v>
      </c>
      <c r="F9" s="6">
        <v>3</v>
      </c>
      <c r="G9" s="7">
        <v>3465</v>
      </c>
      <c r="H9" s="7">
        <v>3360</v>
      </c>
      <c r="I9" s="7">
        <v>3360</v>
      </c>
      <c r="J9" s="8">
        <f t="shared" si="0"/>
        <v>10185</v>
      </c>
      <c r="K9" s="3">
        <v>157</v>
      </c>
    </row>
    <row r="10" spans="1:11" ht="18.75" x14ac:dyDescent="0.25">
      <c r="A10" s="6">
        <v>9</v>
      </c>
      <c r="B10" s="5" t="s">
        <v>19</v>
      </c>
      <c r="C10" s="6" t="s">
        <v>9</v>
      </c>
      <c r="D10" s="6">
        <v>2</v>
      </c>
      <c r="E10" s="6">
        <v>2</v>
      </c>
      <c r="F10" s="6">
        <v>2</v>
      </c>
      <c r="G10" s="7">
        <v>2400</v>
      </c>
      <c r="H10" s="7">
        <v>2400</v>
      </c>
      <c r="I10" s="7">
        <v>2400</v>
      </c>
      <c r="J10" s="8">
        <f t="shared" si="0"/>
        <v>7200</v>
      </c>
      <c r="K10" s="3">
        <v>158</v>
      </c>
    </row>
    <row r="11" spans="1:11" ht="18.75" x14ac:dyDescent="0.25">
      <c r="A11" s="6">
        <v>10</v>
      </c>
      <c r="B11" s="5" t="s">
        <v>20</v>
      </c>
      <c r="C11" s="6" t="s">
        <v>9</v>
      </c>
      <c r="D11" s="6">
        <v>2</v>
      </c>
      <c r="E11" s="6">
        <v>2</v>
      </c>
      <c r="F11" s="6">
        <v>2</v>
      </c>
      <c r="G11" s="7">
        <v>2240</v>
      </c>
      <c r="H11" s="7">
        <v>2240</v>
      </c>
      <c r="I11" s="7">
        <v>2240</v>
      </c>
      <c r="J11" s="8">
        <f t="shared" si="0"/>
        <v>6720</v>
      </c>
      <c r="K11" s="3">
        <v>148</v>
      </c>
    </row>
    <row r="12" spans="1:11" ht="18.75" x14ac:dyDescent="0.25">
      <c r="A12" s="6">
        <v>11</v>
      </c>
      <c r="B12" s="12" t="s">
        <v>17</v>
      </c>
      <c r="C12" s="6" t="s">
        <v>9</v>
      </c>
      <c r="D12" s="6">
        <v>3</v>
      </c>
      <c r="E12" s="6">
        <v>3</v>
      </c>
      <c r="F12" s="6">
        <v>3</v>
      </c>
      <c r="G12" s="7">
        <v>3600</v>
      </c>
      <c r="H12" s="7">
        <v>3600</v>
      </c>
      <c r="I12" s="7">
        <v>3600</v>
      </c>
      <c r="J12" s="8">
        <f t="shared" si="0"/>
        <v>10800</v>
      </c>
      <c r="K12" s="3">
        <v>192</v>
      </c>
    </row>
    <row r="13" spans="1:11" ht="18.75" x14ac:dyDescent="0.25">
      <c r="A13" s="6">
        <v>12</v>
      </c>
      <c r="B13" s="12" t="s">
        <v>27</v>
      </c>
      <c r="C13" s="6" t="s">
        <v>9</v>
      </c>
      <c r="D13" s="6">
        <v>2</v>
      </c>
      <c r="E13" s="6">
        <v>2</v>
      </c>
      <c r="F13" s="6">
        <v>2</v>
      </c>
      <c r="G13" s="7">
        <v>2240</v>
      </c>
      <c r="H13" s="7">
        <v>2240</v>
      </c>
      <c r="I13" s="7">
        <v>2240</v>
      </c>
      <c r="J13" s="8">
        <f t="shared" si="0"/>
        <v>6720</v>
      </c>
      <c r="K13" s="3">
        <v>172</v>
      </c>
    </row>
    <row r="14" spans="1:11" ht="18.75" x14ac:dyDescent="0.25">
      <c r="A14" s="6">
        <v>13</v>
      </c>
      <c r="B14" s="5" t="s">
        <v>21</v>
      </c>
      <c r="C14" s="6" t="s">
        <v>9</v>
      </c>
      <c r="D14" s="6">
        <v>2</v>
      </c>
      <c r="E14" s="6">
        <v>2</v>
      </c>
      <c r="F14" s="6">
        <v>2</v>
      </c>
      <c r="G14" s="7">
        <v>2400</v>
      </c>
      <c r="H14" s="7">
        <v>2400</v>
      </c>
      <c r="I14" s="7">
        <v>2400</v>
      </c>
      <c r="J14" s="8">
        <f t="shared" si="0"/>
        <v>7200</v>
      </c>
      <c r="K14" s="3">
        <v>159</v>
      </c>
    </row>
    <row r="15" spans="1:11" ht="18.75" x14ac:dyDescent="0.25">
      <c r="A15" s="6">
        <v>14</v>
      </c>
      <c r="B15" s="5" t="s">
        <v>22</v>
      </c>
      <c r="C15" s="6" t="s">
        <v>12</v>
      </c>
      <c r="D15" s="6">
        <v>3</v>
      </c>
      <c r="E15" s="6">
        <v>3</v>
      </c>
      <c r="F15" s="6">
        <v>3</v>
      </c>
      <c r="G15" s="7">
        <v>3840</v>
      </c>
      <c r="H15" s="7">
        <v>3840</v>
      </c>
      <c r="I15" s="7">
        <v>3840</v>
      </c>
      <c r="J15" s="8">
        <f t="shared" si="0"/>
        <v>11520</v>
      </c>
      <c r="K15" s="3">
        <v>160</v>
      </c>
    </row>
    <row r="16" spans="1:11" ht="18.75" x14ac:dyDescent="0.25">
      <c r="A16" s="6">
        <v>15</v>
      </c>
      <c r="B16" s="13" t="s">
        <v>23</v>
      </c>
      <c r="C16" s="6" t="s">
        <v>9</v>
      </c>
      <c r="D16" s="6">
        <v>3</v>
      </c>
      <c r="E16" s="6">
        <v>3</v>
      </c>
      <c r="F16" s="6">
        <v>3</v>
      </c>
      <c r="G16" s="7">
        <v>3600</v>
      </c>
      <c r="H16" s="7">
        <v>3600</v>
      </c>
      <c r="I16" s="7">
        <v>3600</v>
      </c>
      <c r="J16" s="8">
        <f t="shared" si="0"/>
        <v>10800</v>
      </c>
      <c r="K16" s="3">
        <v>161</v>
      </c>
    </row>
    <row r="17" spans="1:11" ht="18.75" x14ac:dyDescent="0.25">
      <c r="A17" s="6">
        <v>16</v>
      </c>
      <c r="B17" s="5" t="s">
        <v>24</v>
      </c>
      <c r="C17" s="6" t="s">
        <v>9</v>
      </c>
      <c r="D17" s="6">
        <v>2</v>
      </c>
      <c r="E17" s="6">
        <v>2</v>
      </c>
      <c r="F17" s="6">
        <v>2</v>
      </c>
      <c r="G17" s="7">
        <v>2400</v>
      </c>
      <c r="H17" s="7">
        <v>2400</v>
      </c>
      <c r="I17" s="7">
        <v>2400</v>
      </c>
      <c r="J17" s="8">
        <f t="shared" si="0"/>
        <v>7200</v>
      </c>
      <c r="K17" s="3">
        <v>162</v>
      </c>
    </row>
    <row r="18" spans="1:11" ht="18.75" x14ac:dyDescent="0.25">
      <c r="A18" s="6">
        <v>17</v>
      </c>
      <c r="B18" s="13" t="s">
        <v>25</v>
      </c>
      <c r="C18" s="6" t="s">
        <v>12</v>
      </c>
      <c r="D18" s="6">
        <v>3</v>
      </c>
      <c r="E18" s="6">
        <v>3</v>
      </c>
      <c r="F18" s="6">
        <v>3</v>
      </c>
      <c r="G18" s="7">
        <v>3600</v>
      </c>
      <c r="H18" s="7">
        <v>3600</v>
      </c>
      <c r="I18" s="7">
        <v>3600</v>
      </c>
      <c r="J18" s="8">
        <f t="shared" si="0"/>
        <v>10800</v>
      </c>
      <c r="K18" s="3">
        <v>167</v>
      </c>
    </row>
    <row r="19" spans="1:11" ht="18.75" x14ac:dyDescent="0.25">
      <c r="A19" s="6">
        <v>18</v>
      </c>
      <c r="B19" s="5" t="s">
        <v>26</v>
      </c>
      <c r="C19" s="6" t="s">
        <v>9</v>
      </c>
      <c r="D19" s="6">
        <v>2</v>
      </c>
      <c r="E19" s="6">
        <v>2</v>
      </c>
      <c r="F19" s="6">
        <v>2</v>
      </c>
      <c r="G19" s="7">
        <v>2240</v>
      </c>
      <c r="H19" s="7">
        <v>2240</v>
      </c>
      <c r="I19" s="7">
        <v>2240</v>
      </c>
      <c r="J19" s="8">
        <f t="shared" si="0"/>
        <v>6720</v>
      </c>
      <c r="K19" s="3">
        <v>181</v>
      </c>
    </row>
    <row r="20" spans="1:11" ht="18.75" x14ac:dyDescent="0.25">
      <c r="A20" s="6">
        <v>19</v>
      </c>
      <c r="B20" s="5" t="s">
        <v>28</v>
      </c>
      <c r="C20" s="6" t="s">
        <v>9</v>
      </c>
      <c r="D20" s="6">
        <v>2</v>
      </c>
      <c r="E20" s="6">
        <v>2</v>
      </c>
      <c r="F20" s="6">
        <v>2</v>
      </c>
      <c r="G20" s="7">
        <v>2400</v>
      </c>
      <c r="H20" s="7">
        <v>2400</v>
      </c>
      <c r="I20" s="7">
        <v>2400</v>
      </c>
      <c r="J20" s="8">
        <f t="shared" si="0"/>
        <v>7200</v>
      </c>
      <c r="K20" s="3">
        <v>165</v>
      </c>
    </row>
    <row r="21" spans="1:11" ht="18.75" x14ac:dyDescent="0.25">
      <c r="A21" s="6">
        <v>20</v>
      </c>
      <c r="B21" s="5" t="s">
        <v>30</v>
      </c>
      <c r="C21" s="6" t="s">
        <v>9</v>
      </c>
      <c r="D21" s="6">
        <v>3</v>
      </c>
      <c r="E21" s="6">
        <v>3</v>
      </c>
      <c r="F21" s="6">
        <v>3</v>
      </c>
      <c r="G21" s="7">
        <v>3840</v>
      </c>
      <c r="H21" s="7">
        <v>3840</v>
      </c>
      <c r="I21" s="7">
        <v>3840</v>
      </c>
      <c r="J21" s="8">
        <f t="shared" si="0"/>
        <v>11520</v>
      </c>
      <c r="K21" s="3">
        <v>168</v>
      </c>
    </row>
    <row r="22" spans="1:11" ht="18.75" x14ac:dyDescent="0.25">
      <c r="A22" s="6">
        <v>21</v>
      </c>
      <c r="B22" s="12" t="s">
        <v>29</v>
      </c>
      <c r="C22" s="6" t="s">
        <v>9</v>
      </c>
      <c r="D22" s="6">
        <v>2</v>
      </c>
      <c r="E22" s="6">
        <v>2</v>
      </c>
      <c r="F22" s="6">
        <v>2</v>
      </c>
      <c r="G22" s="7">
        <v>2560</v>
      </c>
      <c r="H22" s="7">
        <v>2560</v>
      </c>
      <c r="I22" s="7">
        <v>2560</v>
      </c>
      <c r="J22" s="8">
        <f t="shared" si="0"/>
        <v>7680</v>
      </c>
      <c r="K22" s="3">
        <v>191</v>
      </c>
    </row>
    <row r="23" spans="1:11" ht="18.75" x14ac:dyDescent="0.25">
      <c r="A23" s="6">
        <v>22</v>
      </c>
      <c r="B23" s="5" t="s">
        <v>32</v>
      </c>
      <c r="C23" s="6" t="s">
        <v>9</v>
      </c>
      <c r="D23" s="6">
        <v>2</v>
      </c>
      <c r="E23" s="6">
        <v>2</v>
      </c>
      <c r="F23" s="6">
        <v>2</v>
      </c>
      <c r="G23" s="7">
        <v>2400</v>
      </c>
      <c r="H23" s="7">
        <v>2400</v>
      </c>
      <c r="I23" s="7">
        <v>2400</v>
      </c>
      <c r="J23" s="8">
        <f t="shared" si="0"/>
        <v>7200</v>
      </c>
      <c r="K23" s="3">
        <v>169</v>
      </c>
    </row>
    <row r="24" spans="1:11" ht="18.75" x14ac:dyDescent="0.25">
      <c r="A24" s="6">
        <v>23</v>
      </c>
      <c r="B24" s="5" t="s">
        <v>33</v>
      </c>
      <c r="C24" s="6" t="s">
        <v>9</v>
      </c>
      <c r="D24" s="6">
        <v>3</v>
      </c>
      <c r="E24" s="6">
        <v>3</v>
      </c>
      <c r="F24" s="6">
        <v>3</v>
      </c>
      <c r="G24" s="7">
        <v>3360</v>
      </c>
      <c r="H24" s="7">
        <v>3360</v>
      </c>
      <c r="I24" s="7">
        <v>3360</v>
      </c>
      <c r="J24" s="8">
        <f t="shared" si="0"/>
        <v>10080</v>
      </c>
      <c r="K24" s="3">
        <v>170</v>
      </c>
    </row>
    <row r="25" spans="1:11" ht="18.75" x14ac:dyDescent="0.25">
      <c r="A25" s="6">
        <v>24</v>
      </c>
      <c r="B25" s="12" t="s">
        <v>31</v>
      </c>
      <c r="C25" s="6" t="s">
        <v>9</v>
      </c>
      <c r="D25" s="6">
        <v>2</v>
      </c>
      <c r="E25" s="6">
        <v>2</v>
      </c>
      <c r="F25" s="6">
        <v>2</v>
      </c>
      <c r="G25" s="7">
        <v>2400</v>
      </c>
      <c r="H25" s="7">
        <v>2400</v>
      </c>
      <c r="I25" s="7">
        <v>2400</v>
      </c>
      <c r="J25" s="8">
        <f t="shared" si="0"/>
        <v>7200</v>
      </c>
      <c r="K25" s="3">
        <v>193</v>
      </c>
    </row>
    <row r="26" spans="1:11" ht="18.75" x14ac:dyDescent="0.25">
      <c r="A26" s="6">
        <v>25</v>
      </c>
      <c r="B26" s="10" t="s">
        <v>36</v>
      </c>
      <c r="C26" s="9" t="s">
        <v>37</v>
      </c>
      <c r="D26" s="6">
        <v>2</v>
      </c>
      <c r="E26" s="6">
        <v>2</v>
      </c>
      <c r="F26" s="6">
        <v>2</v>
      </c>
      <c r="G26" s="7">
        <v>2310</v>
      </c>
      <c r="H26" s="7">
        <v>2240</v>
      </c>
      <c r="I26" s="7">
        <v>2240</v>
      </c>
      <c r="J26" s="8">
        <f t="shared" si="0"/>
        <v>6790</v>
      </c>
      <c r="K26" s="3">
        <v>171</v>
      </c>
    </row>
    <row r="27" spans="1:11" ht="18.75" x14ac:dyDescent="0.25">
      <c r="A27" s="6">
        <v>26</v>
      </c>
      <c r="B27" s="15" t="s">
        <v>38</v>
      </c>
      <c r="C27" s="6" t="s">
        <v>9</v>
      </c>
      <c r="D27" s="6">
        <v>2</v>
      </c>
      <c r="E27" s="6">
        <v>2</v>
      </c>
      <c r="F27" s="6">
        <v>2</v>
      </c>
      <c r="G27" s="7">
        <v>2400</v>
      </c>
      <c r="H27" s="7">
        <v>2400</v>
      </c>
      <c r="I27" s="7">
        <v>2400</v>
      </c>
      <c r="J27" s="8">
        <f t="shared" si="0"/>
        <v>7200</v>
      </c>
      <c r="K27" s="3">
        <v>164</v>
      </c>
    </row>
    <row r="28" spans="1:11" ht="18.75" x14ac:dyDescent="0.25">
      <c r="A28" s="6">
        <v>27</v>
      </c>
      <c r="B28" s="15" t="s">
        <v>39</v>
      </c>
      <c r="C28" s="6" t="s">
        <v>9</v>
      </c>
      <c r="D28" s="6">
        <v>2</v>
      </c>
      <c r="E28" s="6">
        <v>2</v>
      </c>
      <c r="F28" s="6">
        <v>2</v>
      </c>
      <c r="G28" s="7">
        <v>2400</v>
      </c>
      <c r="H28" s="7">
        <v>2400</v>
      </c>
      <c r="I28" s="7">
        <v>2400</v>
      </c>
      <c r="J28" s="8">
        <f t="shared" si="0"/>
        <v>7200</v>
      </c>
      <c r="K28" s="3">
        <v>194</v>
      </c>
    </row>
    <row r="29" spans="1:11" ht="18.75" x14ac:dyDescent="0.25">
      <c r="A29" s="6">
        <v>28</v>
      </c>
      <c r="B29" s="14" t="s">
        <v>34</v>
      </c>
      <c r="C29" s="6" t="s">
        <v>9</v>
      </c>
      <c r="D29" s="6">
        <v>2</v>
      </c>
      <c r="E29" s="6">
        <v>2</v>
      </c>
      <c r="F29" s="6">
        <v>2</v>
      </c>
      <c r="G29" s="7">
        <v>2240</v>
      </c>
      <c r="H29" s="7">
        <v>2240</v>
      </c>
      <c r="I29" s="7">
        <v>2240</v>
      </c>
      <c r="J29" s="8">
        <f t="shared" si="0"/>
        <v>6720</v>
      </c>
      <c r="K29" s="3">
        <v>195</v>
      </c>
    </row>
    <row r="30" spans="1:11" ht="18.75" x14ac:dyDescent="0.25">
      <c r="A30" s="6">
        <v>29</v>
      </c>
      <c r="B30" s="15" t="s">
        <v>40</v>
      </c>
      <c r="C30" s="6" t="s">
        <v>9</v>
      </c>
      <c r="D30" s="6">
        <v>2</v>
      </c>
      <c r="E30" s="6">
        <v>2</v>
      </c>
      <c r="F30" s="6">
        <v>2</v>
      </c>
      <c r="G30" s="7">
        <v>2240</v>
      </c>
      <c r="H30" s="7">
        <v>2240</v>
      </c>
      <c r="I30" s="7">
        <v>2240</v>
      </c>
      <c r="J30" s="8">
        <f t="shared" si="0"/>
        <v>6720</v>
      </c>
      <c r="K30" s="3">
        <v>173</v>
      </c>
    </row>
    <row r="31" spans="1:11" ht="18.75" x14ac:dyDescent="0.25">
      <c r="A31" s="6">
        <v>30</v>
      </c>
      <c r="B31" s="10" t="s">
        <v>41</v>
      </c>
      <c r="C31" s="6" t="s">
        <v>9</v>
      </c>
      <c r="D31" s="6">
        <v>2</v>
      </c>
      <c r="E31" s="6">
        <v>2</v>
      </c>
      <c r="F31" s="6">
        <v>2</v>
      </c>
      <c r="G31" s="7">
        <v>2240</v>
      </c>
      <c r="H31" s="7">
        <v>2240</v>
      </c>
      <c r="I31" s="7">
        <v>2240</v>
      </c>
      <c r="J31" s="8">
        <f t="shared" si="0"/>
        <v>6720</v>
      </c>
      <c r="K31" s="3">
        <v>174</v>
      </c>
    </row>
    <row r="32" spans="1:11" ht="18.75" x14ac:dyDescent="0.25">
      <c r="A32" s="6">
        <v>31</v>
      </c>
      <c r="B32" s="10" t="s">
        <v>42</v>
      </c>
      <c r="C32" s="6" t="s">
        <v>9</v>
      </c>
      <c r="D32" s="6">
        <v>3</v>
      </c>
      <c r="E32" s="6">
        <v>3</v>
      </c>
      <c r="F32" s="6">
        <v>3</v>
      </c>
      <c r="G32" s="7">
        <v>3360</v>
      </c>
      <c r="H32" s="7">
        <v>3360</v>
      </c>
      <c r="I32" s="7">
        <v>3360</v>
      </c>
      <c r="J32" s="8">
        <f t="shared" si="0"/>
        <v>10080</v>
      </c>
      <c r="K32" s="3">
        <v>175</v>
      </c>
    </row>
    <row r="33" spans="1:11" ht="18.75" x14ac:dyDescent="0.25">
      <c r="A33" s="6">
        <v>32</v>
      </c>
      <c r="B33" s="10" t="s">
        <v>43</v>
      </c>
      <c r="C33" s="6" t="s">
        <v>9</v>
      </c>
      <c r="D33" s="6">
        <v>3</v>
      </c>
      <c r="E33" s="6">
        <v>3</v>
      </c>
      <c r="F33" s="6">
        <v>3</v>
      </c>
      <c r="G33" s="7">
        <v>3840</v>
      </c>
      <c r="H33" s="7">
        <v>3840</v>
      </c>
      <c r="I33" s="7">
        <v>3840</v>
      </c>
      <c r="J33" s="8">
        <f t="shared" si="0"/>
        <v>11520</v>
      </c>
      <c r="K33" s="3">
        <v>176</v>
      </c>
    </row>
    <row r="34" spans="1:11" ht="18.75" x14ac:dyDescent="0.25">
      <c r="A34" s="6">
        <v>33</v>
      </c>
      <c r="B34" s="10" t="s">
        <v>44</v>
      </c>
      <c r="C34" s="6" t="s">
        <v>9</v>
      </c>
      <c r="D34" s="6">
        <v>2</v>
      </c>
      <c r="E34" s="6">
        <v>2</v>
      </c>
      <c r="F34" s="6">
        <v>2</v>
      </c>
      <c r="G34" s="7">
        <v>2240</v>
      </c>
      <c r="H34" s="7">
        <v>2240</v>
      </c>
      <c r="I34" s="7">
        <v>2240</v>
      </c>
      <c r="J34" s="8">
        <f t="shared" ref="J34:J65" si="1">G34+H34+I34</f>
        <v>6720</v>
      </c>
      <c r="K34" s="3">
        <v>177</v>
      </c>
    </row>
    <row r="35" spans="1:11" ht="18.75" x14ac:dyDescent="0.25">
      <c r="A35" s="6">
        <v>34</v>
      </c>
      <c r="B35" s="10" t="s">
        <v>46</v>
      </c>
      <c r="C35" s="6" t="s">
        <v>12</v>
      </c>
      <c r="D35" s="6">
        <v>2</v>
      </c>
      <c r="E35" s="6">
        <v>2</v>
      </c>
      <c r="F35" s="6">
        <v>2</v>
      </c>
      <c r="G35" s="7">
        <v>2640</v>
      </c>
      <c r="H35" s="7">
        <v>2560</v>
      </c>
      <c r="I35" s="7">
        <v>2560</v>
      </c>
      <c r="J35" s="8">
        <f t="shared" si="1"/>
        <v>7760</v>
      </c>
      <c r="K35" s="3">
        <v>178</v>
      </c>
    </row>
    <row r="36" spans="1:11" ht="18.75" x14ac:dyDescent="0.25">
      <c r="A36" s="6">
        <v>35</v>
      </c>
      <c r="B36" s="10" t="s">
        <v>48</v>
      </c>
      <c r="C36" s="6" t="s">
        <v>9</v>
      </c>
      <c r="D36" s="6">
        <v>3</v>
      </c>
      <c r="E36" s="6">
        <v>3</v>
      </c>
      <c r="F36" s="6">
        <v>3</v>
      </c>
      <c r="G36" s="7">
        <v>3840</v>
      </c>
      <c r="H36" s="7">
        <v>3840</v>
      </c>
      <c r="I36" s="7">
        <v>3840</v>
      </c>
      <c r="J36" s="8">
        <f t="shared" si="1"/>
        <v>11520</v>
      </c>
      <c r="K36" s="3">
        <v>179</v>
      </c>
    </row>
    <row r="37" spans="1:11" ht="18.75" x14ac:dyDescent="0.25">
      <c r="A37" s="6">
        <v>36</v>
      </c>
      <c r="B37" s="14" t="s">
        <v>35</v>
      </c>
      <c r="C37" s="6" t="s">
        <v>12</v>
      </c>
      <c r="D37" s="6">
        <v>2</v>
      </c>
      <c r="E37" s="6">
        <v>2</v>
      </c>
      <c r="F37" s="6">
        <v>2</v>
      </c>
      <c r="G37" s="7">
        <v>2240</v>
      </c>
      <c r="H37" s="7">
        <v>2240</v>
      </c>
      <c r="I37" s="7">
        <v>2240</v>
      </c>
      <c r="J37" s="8">
        <f t="shared" si="1"/>
        <v>6720</v>
      </c>
      <c r="K37" s="3">
        <v>198</v>
      </c>
    </row>
    <row r="38" spans="1:11" ht="18.75" x14ac:dyDescent="0.25">
      <c r="A38" s="6">
        <v>37</v>
      </c>
      <c r="B38" s="10" t="s">
        <v>49</v>
      </c>
      <c r="C38" s="6" t="s">
        <v>12</v>
      </c>
      <c r="D38" s="6">
        <v>2</v>
      </c>
      <c r="E38" s="6">
        <v>2</v>
      </c>
      <c r="F38" s="6">
        <v>2</v>
      </c>
      <c r="G38" s="7">
        <v>2240</v>
      </c>
      <c r="H38" s="7">
        <v>2240</v>
      </c>
      <c r="I38" s="7">
        <v>2240</v>
      </c>
      <c r="J38" s="8">
        <f t="shared" si="1"/>
        <v>6720</v>
      </c>
      <c r="K38" s="3">
        <v>180</v>
      </c>
    </row>
    <row r="39" spans="1:11" ht="18.75" x14ac:dyDescent="0.25">
      <c r="A39" s="6">
        <v>38</v>
      </c>
      <c r="B39" s="10" t="s">
        <v>50</v>
      </c>
      <c r="C39" s="6" t="s">
        <v>9</v>
      </c>
      <c r="D39" s="6">
        <v>2</v>
      </c>
      <c r="E39" s="6">
        <v>2</v>
      </c>
      <c r="F39" s="6">
        <v>2</v>
      </c>
      <c r="G39" s="7">
        <v>2400</v>
      </c>
      <c r="H39" s="7">
        <v>2400</v>
      </c>
      <c r="I39" s="7">
        <v>2400</v>
      </c>
      <c r="J39" s="8">
        <f t="shared" si="1"/>
        <v>7200</v>
      </c>
      <c r="K39" s="3">
        <v>166</v>
      </c>
    </row>
    <row r="40" spans="1:11" ht="18.75" x14ac:dyDescent="0.25">
      <c r="A40" s="6">
        <v>39</v>
      </c>
      <c r="B40" s="10" t="s">
        <v>51</v>
      </c>
      <c r="C40" s="6" t="s">
        <v>9</v>
      </c>
      <c r="D40" s="6">
        <v>2</v>
      </c>
      <c r="E40" s="6">
        <v>2</v>
      </c>
      <c r="F40" s="6">
        <v>2</v>
      </c>
      <c r="G40" s="7">
        <v>2400</v>
      </c>
      <c r="H40" s="7">
        <v>2400</v>
      </c>
      <c r="I40" s="7">
        <v>2400</v>
      </c>
      <c r="J40" s="8">
        <f t="shared" si="1"/>
        <v>7200</v>
      </c>
      <c r="K40" s="3">
        <v>156</v>
      </c>
    </row>
    <row r="41" spans="1:11" ht="18.75" x14ac:dyDescent="0.25">
      <c r="A41" s="6">
        <v>40</v>
      </c>
      <c r="B41" s="14" t="s">
        <v>45</v>
      </c>
      <c r="C41" s="6" t="s">
        <v>9</v>
      </c>
      <c r="D41" s="6">
        <v>2</v>
      </c>
      <c r="E41" s="6">
        <v>2</v>
      </c>
      <c r="F41" s="6">
        <v>2</v>
      </c>
      <c r="G41" s="7">
        <v>2240</v>
      </c>
      <c r="H41" s="7">
        <v>2240</v>
      </c>
      <c r="I41" s="7">
        <v>2240</v>
      </c>
      <c r="J41" s="8">
        <f t="shared" si="1"/>
        <v>6720</v>
      </c>
      <c r="K41" s="3">
        <v>196</v>
      </c>
    </row>
    <row r="42" spans="1:11" ht="18.75" x14ac:dyDescent="0.25">
      <c r="A42" s="6">
        <v>41</v>
      </c>
      <c r="B42" s="10" t="s">
        <v>52</v>
      </c>
      <c r="C42" s="6" t="s">
        <v>9</v>
      </c>
      <c r="D42" s="6">
        <v>2</v>
      </c>
      <c r="E42" s="6">
        <v>2</v>
      </c>
      <c r="F42" s="6">
        <v>2</v>
      </c>
      <c r="G42" s="7">
        <v>2240</v>
      </c>
      <c r="H42" s="7">
        <v>2240</v>
      </c>
      <c r="I42" s="7">
        <v>2240</v>
      </c>
      <c r="J42" s="8">
        <f t="shared" si="1"/>
        <v>6720</v>
      </c>
      <c r="K42" s="3">
        <v>181</v>
      </c>
    </row>
    <row r="43" spans="1:11" ht="18.75" x14ac:dyDescent="0.25">
      <c r="A43" s="6">
        <v>42</v>
      </c>
      <c r="B43" s="10" t="s">
        <v>53</v>
      </c>
      <c r="C43" s="6" t="s">
        <v>9</v>
      </c>
      <c r="D43" s="6">
        <v>2</v>
      </c>
      <c r="E43" s="6">
        <v>2</v>
      </c>
      <c r="F43" s="6">
        <v>2</v>
      </c>
      <c r="G43" s="7">
        <v>2400</v>
      </c>
      <c r="H43" s="7">
        <v>2400</v>
      </c>
      <c r="I43" s="7">
        <v>2400</v>
      </c>
      <c r="J43" s="8">
        <f t="shared" si="1"/>
        <v>7200</v>
      </c>
      <c r="K43" s="3">
        <v>182</v>
      </c>
    </row>
    <row r="44" spans="1:11" ht="18.75" x14ac:dyDescent="0.25">
      <c r="A44" s="6">
        <v>43</v>
      </c>
      <c r="B44" s="10" t="s">
        <v>54</v>
      </c>
      <c r="C44" s="6" t="s">
        <v>9</v>
      </c>
      <c r="D44" s="6">
        <v>3</v>
      </c>
      <c r="E44" s="6">
        <v>3</v>
      </c>
      <c r="F44" s="6">
        <v>3</v>
      </c>
      <c r="G44" s="7">
        <v>3600</v>
      </c>
      <c r="H44" s="7">
        <v>3600</v>
      </c>
      <c r="I44" s="7">
        <v>3600</v>
      </c>
      <c r="J44" s="8">
        <f t="shared" si="1"/>
        <v>10800</v>
      </c>
      <c r="K44" s="3">
        <v>183</v>
      </c>
    </row>
    <row r="45" spans="1:11" s="16" customFormat="1" ht="18.75" x14ac:dyDescent="0.25">
      <c r="A45" s="6">
        <v>44</v>
      </c>
      <c r="B45" s="10" t="s">
        <v>55</v>
      </c>
      <c r="C45" s="6" t="s">
        <v>9</v>
      </c>
      <c r="D45" s="6">
        <v>2</v>
      </c>
      <c r="E45" s="6">
        <v>2</v>
      </c>
      <c r="F45" s="6">
        <v>2</v>
      </c>
      <c r="G45" s="7">
        <v>2475</v>
      </c>
      <c r="H45" s="7">
        <v>2400</v>
      </c>
      <c r="I45" s="7">
        <v>2400</v>
      </c>
      <c r="J45" s="8">
        <f t="shared" si="1"/>
        <v>7275</v>
      </c>
      <c r="K45" s="3">
        <v>184</v>
      </c>
    </row>
    <row r="46" spans="1:11" ht="18.75" x14ac:dyDescent="0.25">
      <c r="A46" s="6">
        <v>45</v>
      </c>
      <c r="B46" s="10" t="s">
        <v>56</v>
      </c>
      <c r="C46" s="6" t="s">
        <v>57</v>
      </c>
      <c r="D46" s="6">
        <v>2</v>
      </c>
      <c r="E46" s="6">
        <v>2</v>
      </c>
      <c r="F46" s="6">
        <v>2</v>
      </c>
      <c r="G46" s="7">
        <v>2640</v>
      </c>
      <c r="H46" s="7">
        <v>2560</v>
      </c>
      <c r="I46" s="7">
        <v>2560</v>
      </c>
      <c r="J46" s="8">
        <f t="shared" si="1"/>
        <v>7760</v>
      </c>
      <c r="K46" s="3">
        <v>185</v>
      </c>
    </row>
    <row r="47" spans="1:11" ht="18.75" x14ac:dyDescent="0.25">
      <c r="A47" s="6">
        <v>46</v>
      </c>
      <c r="B47" s="14" t="s">
        <v>47</v>
      </c>
      <c r="C47" s="6" t="s">
        <v>9</v>
      </c>
      <c r="D47" s="6">
        <v>2</v>
      </c>
      <c r="E47" s="6">
        <v>2</v>
      </c>
      <c r="F47" s="6">
        <v>2</v>
      </c>
      <c r="G47" s="7">
        <v>2400</v>
      </c>
      <c r="H47" s="7">
        <v>2400</v>
      </c>
      <c r="I47" s="7">
        <v>2400</v>
      </c>
      <c r="J47" s="8">
        <f t="shared" si="1"/>
        <v>7200</v>
      </c>
      <c r="K47" s="3">
        <v>197</v>
      </c>
    </row>
    <row r="48" spans="1:11" ht="18.75" x14ac:dyDescent="0.25">
      <c r="A48" s="6">
        <v>47</v>
      </c>
      <c r="B48" s="10" t="s">
        <v>58</v>
      </c>
      <c r="C48" s="6" t="s">
        <v>9</v>
      </c>
      <c r="D48" s="6">
        <v>3</v>
      </c>
      <c r="E48" s="6">
        <v>3</v>
      </c>
      <c r="F48" s="6">
        <v>3</v>
      </c>
      <c r="G48" s="7">
        <v>3360</v>
      </c>
      <c r="H48" s="7">
        <v>3360</v>
      </c>
      <c r="I48" s="7">
        <v>3360</v>
      </c>
      <c r="J48" s="8">
        <f t="shared" si="1"/>
        <v>10080</v>
      </c>
      <c r="K48" s="3">
        <v>186</v>
      </c>
    </row>
    <row r="49" spans="1:11" ht="18.75" x14ac:dyDescent="0.25">
      <c r="A49" s="6">
        <v>48</v>
      </c>
      <c r="B49" s="10" t="s">
        <v>59</v>
      </c>
      <c r="C49" s="6" t="s">
        <v>9</v>
      </c>
      <c r="D49" s="6">
        <v>2</v>
      </c>
      <c r="E49" s="6">
        <v>2</v>
      </c>
      <c r="F49" s="6">
        <v>2</v>
      </c>
      <c r="G49" s="7">
        <v>2240</v>
      </c>
      <c r="H49" s="7">
        <v>2240</v>
      </c>
      <c r="I49" s="7">
        <v>2240</v>
      </c>
      <c r="J49" s="8">
        <f t="shared" si="1"/>
        <v>6720</v>
      </c>
      <c r="K49" s="3">
        <v>187</v>
      </c>
    </row>
    <row r="50" spans="1:11" ht="18.75" x14ac:dyDescent="0.25">
      <c r="A50" s="6">
        <v>49</v>
      </c>
      <c r="B50" s="5" t="s">
        <v>60</v>
      </c>
      <c r="C50" s="6" t="s">
        <v>9</v>
      </c>
      <c r="D50" s="6">
        <v>3</v>
      </c>
      <c r="E50" s="6">
        <v>3</v>
      </c>
      <c r="F50" s="6">
        <v>3</v>
      </c>
      <c r="G50" s="7">
        <v>3600</v>
      </c>
      <c r="H50" s="7">
        <v>3600</v>
      </c>
      <c r="I50" s="7">
        <v>3600</v>
      </c>
      <c r="J50" s="8">
        <f t="shared" si="1"/>
        <v>10800</v>
      </c>
      <c r="K50" s="3">
        <v>188</v>
      </c>
    </row>
    <row r="51" spans="1:11" ht="18.75" x14ac:dyDescent="0.25">
      <c r="A51" s="6">
        <v>50</v>
      </c>
      <c r="B51" s="5" t="s">
        <v>61</v>
      </c>
      <c r="C51" s="6" t="s">
        <v>9</v>
      </c>
      <c r="D51" s="6">
        <v>2</v>
      </c>
      <c r="E51" s="6">
        <v>2</v>
      </c>
      <c r="F51" s="6">
        <v>2</v>
      </c>
      <c r="G51" s="7">
        <v>2240</v>
      </c>
      <c r="H51" s="7">
        <v>2240</v>
      </c>
      <c r="I51" s="7">
        <v>2240</v>
      </c>
      <c r="J51" s="8">
        <f t="shared" si="1"/>
        <v>6720</v>
      </c>
      <c r="K51" s="3">
        <v>189</v>
      </c>
    </row>
    <row r="52" spans="1:11" ht="15.75" thickBot="1" x14ac:dyDescent="0.3">
      <c r="A52" s="17"/>
      <c r="B52" s="17"/>
      <c r="C52" s="2"/>
      <c r="D52" s="2"/>
      <c r="E52" s="2"/>
      <c r="F52" s="2"/>
      <c r="G52" s="18">
        <f>SUM(G2:G51)</f>
        <v>135610</v>
      </c>
      <c r="H52" s="18">
        <f>SUM(H2:H51)</f>
        <v>135200</v>
      </c>
      <c r="I52" s="19">
        <f>SUM(I2:I51)</f>
        <v>135200</v>
      </c>
      <c r="J52" s="20">
        <f>SUM(J2:J51)</f>
        <v>406010</v>
      </c>
    </row>
  </sheetData>
  <autoFilter ref="A1:K53" xr:uid="{03DAA7C3-0607-4D8C-8424-A47D3C4B4E16}">
    <filterColumn colId="6" showButton="0"/>
    <filterColumn colId="7" showButton="0"/>
    <sortState xmlns:xlrd2="http://schemas.microsoft.com/office/spreadsheetml/2017/richdata2" ref="A3:K53">
      <sortCondition ref="B1:B53"/>
    </sortState>
  </autoFilter>
  <conditionalFormatting sqref="B2:B8 B10:B18 B20 B22 B24:B25 B28 B30:B35 B37 B39:B43 B45:B48">
    <cfRule type="expression" dxfId="1" priority="4">
      <formula>COUNTIF(B:B,B2)&gt;2</formula>
    </cfRule>
    <cfRule type="expression" dxfId="0" priority="5">
      <formula>COUNTIF(B:B,B2)&gt;1</formula>
    </cfRule>
  </conditionalFormatting>
  <printOptions horizontalCentered="1"/>
  <pageMargins left="0.11811023622047245" right="0.11811023622047245" top="0.15748031496062992" bottom="0.55118110236220474" header="0.11811023622047245" footer="0.31496062992125984"/>
  <pageSetup paperSize="9" scale="72" fitToHeight="3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CONTRATOS</vt:lpstr>
      <vt:lpstr>CONTRATOS!Títulos_a_imprimir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Personal Contratado 31 FLCH</dc:creator>
  <cp:keywords/>
  <dc:description/>
  <cp:lastModifiedBy>Rodrigo Estefano Davila Vasquez</cp:lastModifiedBy>
  <cp:revision/>
  <dcterms:created xsi:type="dcterms:W3CDTF">2025-03-11T20:02:04Z</dcterms:created>
  <dcterms:modified xsi:type="dcterms:W3CDTF">2025-06-09T14:56:32Z</dcterms:modified>
  <cp:category/>
  <cp:contentStatus/>
</cp:coreProperties>
</file>